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<sst xmlns="http://schemas.openxmlformats.org/spreadsheetml/2006/main" count="1072" uniqueCount="734">
  <si>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</si>
  <si>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</si>
  <si>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</si>
  <si>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</si>
  <si>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</si>
  <si>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</si>
  <si>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</si>
  <si>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</si>
  <si>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</si>
  <si>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</si>
  <si>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</si>
  <si>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</si>
  <si>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</si>
  <si>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</si>
  <si>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</si>
  <si>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</si>
  <si>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</si>
  <si>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</si>
  <si>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</si>
  <si>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</si>
  <si>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</si>
  <si>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</si>
  <si>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</si>
  <si>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</si>
  <si>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</si>
  <si>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</si>
  <si>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</si>
  <si>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</si>
  <si>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</si>
  <si>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</si>
  <si>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</si>
  <si>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</si>
  <si>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</si>
  <si>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</si>
  <si>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</si>
  <si>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</si>
  <si>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</si>
  <si>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</si>
  <si>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</si>
  <si>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</si>
  <si>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X-DNI 2 rows at 16" O.C. = 0.667 ft per pin (9/A-410 PAF @ 24" = alternative, RFI).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</si>
  <si>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</si>
  <si>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</si>
  <si>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</si>
  <si>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</si>
  <si>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</si>
  <si>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</si>
  <si>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</si>
  <si>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sticks.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</si>
  <si>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</si>
  <si>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</si>
  <si>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</si>
  <si>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</si>
  <si>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</si>
  <si>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</si>
  <si>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</si>
  <si>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</si>
  <si>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</si>
  <si>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</si>
  <si>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</si>
  <si>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</si>
  <si>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</si>
  <si>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</si>
  <si>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</si>
  <si>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</si>
  <si>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</si>
  <si>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</si>
  <si>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</si>
  <si>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</si>
  <si>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</si>
  <si>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</si>
  <si>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 14 ga SJ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</si>
  <si>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</si>
  <si>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</si>
  <si>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</si>
  <si>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</si>
  <si>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</si>
  <si>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</si>
  <si>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 (door 4 inside wall)</t>
  </si>
  <si>
    <t xml:space="preserve">W2-04</t>
  </si>
  <si>
    <t xml:space="preserve">BOH north wall: Corridor 110 to Manager's Office 105 (Sales side) (door 4 inside wall)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</si>
  <si>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</t>
  </si>
  <si>
    <t xml:space="preserve">W2-05</t>
  </si>
  <si>
    <t xml:space="preserve">Corridor 110 / Women's 109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</si>
  <si>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</si>
  <si>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</si>
  <si>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</si>
  <si>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</si>
  <si>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</si>
  <si>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</si>
  <si>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</si>
  <si>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</si>
  <si>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</si>
  <si>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</si>
  <si>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</si>
  <si>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</si>
  <si>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</si>
  <si>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</si>
  <si>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</si>
  <si>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</si>
  <si>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 20 ga SJ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</si>
  <si>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</si>
  <si>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</si>
  <si>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</si>
  <si>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</si>
  <si>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</si>
  <si>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</si>
  <si>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3-5/8" 20 ga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</si>
  <si>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</si>
  <si>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</si>
  <si>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</si>
  <si>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</si>
  <si>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</si>
  <si>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</si>
  <si>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</si>
  <si>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</si>
  <si>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</si>
  <si>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</si>
  <si>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</si>
  <si>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</si>
  <si>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</si>
  <si>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</si>
  <si>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</si>
  <si>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</si>
  <si>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</si>
  <si>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</si>
  <si>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</si>
  <si>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</si>
  <si>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</si>
  <si>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</si>
  <si>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</si>
  <si>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</si>
  <si>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</si>
  <si>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</si>
  <si>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</si>
  <si>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</si>
  <si>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</si>
  <si>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</si>
  <si>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</si>
  <si>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</si>
  <si>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</si>
  <si>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</si>
  <si>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</si>
  <si>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</si>
  <si>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</si>
  <si>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</si>
  <si>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</si>
  <si>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</si>
  <si>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</si>
  <si>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</si>
  <si>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</si>
  <si>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</si>
  <si>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</si>
  <si>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</si>
  <si>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</si>
  <si>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</si>
  <si>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</si>
  <si>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</si>
  <si>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</si>
  <si>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</si>
  <si>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</si>
  <si>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</si>
  <si>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</si>
  <si>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</si>
  <si>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</si>
  <si>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</si>
  <si>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</si>
  <si>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</si>
  <si>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</si>
  <si>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</si>
  <si>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</si>
  <si>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</si>
  <si>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</si>
  <si>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</si>
  <si>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</si>
  <si>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</si>
  <si>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</si>
  <si>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</si>
  <si>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</si>
  <si>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</si>
  <si>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</si>
  <si>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</si>
  <si>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</si>
  <si>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</si>
  <si>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</si>
  <si>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</si>
  <si>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</si>
  <si>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</si>
  <si>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</si>
  <si>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</si>
  <si>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</si>
  <si>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</si>
  <si>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</si>
  <si>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</si>
  <si>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</si>
  <si>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 | Board by face: B Cafe 103 12.17 x 25 ft (5/8 type X)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</si>
  <si>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</si>
  <si>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</si>
  <si>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</si>
  <si>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</si>
  <si>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</si>
  <si>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</si>
  <si>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</si>
  <si>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</si>
  <si>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</si>
  <si>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</si>
  <si>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</si>
  <si>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</si>
  <si>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</si>
  <si>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</si>
  <si>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</si>
  <si>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X); A Sales Area 101 6.17 x 17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</si>
  <si>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</si>
  <si>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</si>
  <si>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</si>
  <si>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</si>
  <si>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</si>
  <si>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</si>
  <si>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</si>
  <si>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</si>
  <si>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</si>
  <si>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</si>
  <si>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</si>
  <si>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</si>
  <si>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</si>
  <si>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</si>
  <si>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</si>
  <si>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</si>
  <si>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 | Board by face: A Cafe 103 19 x 25 ft (1/2 cement board); A concealed: behind the Workroom door pier and inside the SE box (no cement board) 4.46 x 0 ft (1/2 cement board)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</si>
  <si>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</si>
  <si>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</si>
  <si>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</si>
  <si>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</si>
  <si>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</si>
  <si>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</si>
  <si>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</si>
  <si>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</si>
  <si>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</si>
  <si>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</si>
  <si>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</si>
  <si>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</si>
  <si>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</si>
  <si>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</si>
  <si>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</si>
  <si>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</si>
  <si>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</si>
  <si>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</si>
  <si>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</si>
  <si>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</si>
  <si>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</si>
  <si>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</si>
  <si>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</si>
  <si>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</si>
  <si>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</si>
  <si>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</si>
  <si>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</si>
  <si>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</si>
  <si>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</si>
  <si>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</si>
  <si>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</si>
  <si>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</si>
  <si>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</si>
  <si>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</si>
  <si>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</si>
  <si>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</si>
  <si>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</si>
  <si>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</si>
  <si>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</si>
  <si>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</si>
  <si>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</si>
  <si>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</si>
  <si>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</si>
  <si>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</si>
  <si>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</si>
  <si>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</si>
  <si>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</si>
  <si>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</si>
  <si>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</si>
  <si>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</si>
  <si>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</si>
  <si>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</si>
  <si>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</si>
  <si>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</si>
  <si>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</si>
  <si>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</si>
  <si>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</si>
  <si>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</si>
  <si>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</si>
  <si>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</si>
  <si>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</si>
  <si>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</si>
  <si>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</si>
  <si>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</si>
  <si>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</si>
  <si>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</si>
  <si>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</si>
  <si>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</si>
  <si>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</si>
  <si>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</si>
  <si>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</si>
  <si>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</si>
  <si>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</si>
  <si>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</si>
  <si>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</si>
  <si>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</si>
  <si>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</si>
  <si>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</si>
  <si>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</si>
  <si>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</si>
  <si>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</si>
  <si>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</si>
  <si>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</si>
  <si>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</si>
  <si>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</si>
  <si>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</si>
  <si>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</si>
  <si>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</si>
  <si>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</si>
  <si>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 | Board by face: A Sales Area 101 6.17 x 10 ft (5/8 type X)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</si>
  <si>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</si>
  <si>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</si>
  <si>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</si>
  <si>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</si>
  <si>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</si>
  <si>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</si>
  <si>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</si>
  <si>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</si>
  <si>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</si>
  <si>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</si>
  <si>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</si>
  <si>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</si>
  <si>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</si>
  <si>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</si>
  <si>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</si>
  <si>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</si>
  <si>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 | Track gauge = stud gauge (A-410 schedule note 2): 14 ga SJ 295.95 LF; 20 ga 154.07 LF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</si>
  <si>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</si>
  <si>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 | Track gauge = stud gauge (A-410 schedule note 2): 20 ga SJ 118.59 LF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</si>
  <si>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</si>
  <si>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 | Track gauge = stud gauge (A-410 schedule note 2): 20 ga 72 LF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</si>
  <si>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</si>
  <si>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</si>
  <si>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</si>
  <si>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</si>
  <si>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</si>
  <si>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</si>
  <si>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</si>
  <si>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3/A-221, 8/A-410 | Breakdown [DERIVED]: W5-01 175 + C-H1-N 650 + C-H1-W 300 + C-H3a 150 + C-H3b 175 + C-E2 575 + C-E1-S 525 + C-I-P.1 75 + C-E1-P.2 75 + C-E1-B 125 + C-I 75 + SS-GG 107.5 + CROSS-MEMBERS-8-A410-6 155 = 3,162.5 LF (per wall: field + jambs + nodes + cripples x height; plus listed elements) | By gauge (A-410 Metal Stud Schedule): 20 ga SJ 3,007.5 LF; elements (gauge in their operation) 155 LF</t>
  </si>
  <si>
    <t xml:space="preserve">3-5/8" metal stud (LF of material)</t>
  </si>
  <si>
    <t xml:space="preserve">N/SHEET: 2/A-410, 3/A-410, 4/A-410, G/A-221, F/A-221, A/A-221, B/A-221, D/A-221, C/A-221, 2/A-221, C25/A-101, 7/A-210, 8/A-410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+ DIAG-BRACES-CAFE 44 + CROSS-MEMBERS-8-A410-3 550 + SOFFIT-CROSS-BRACING-2-A221 90 + F-NESTED-BRACING 6.52 + NESTED-BRACING-T3-T4 122.32 = 11,601.59 LF (per wall: field + jambs + nodes + cripples x height; plus listed elements) | By gauge (A-410 Metal Stud Schedule): 14 ga SJ 7,257 LF; 20 ga 2,927.08 LF; elements (gauge in their operation) 1,417.51 LF</t>
  </si>
  <si>
    <t xml:space="preserve">Ceiling perimeter track at GWB ceilings (size not printed, RFI)</t>
  </si>
  <si>
    <t xml:space="preserve">N/SHEET: 1/A-121, 5/A-121 | Breakdown [DERIVED]: Women's Restroom 109 32.33 + Men's Restroom 108 32.33 + Cafe 103 - 11'-6" GWB band 52.51 + Cafe 103 - 9'-0" GWB band 43.33 + Grab &amp; Go 20.49 = 180.99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</si>
  <si>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</si>
  <si>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</si>
  <si>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</si>
  <si>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</si>
  <si>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</si>
  <si>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+ Grab &amp; Go 24.67 = 207.46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</si>
  <si>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</si>
  <si>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</si>
  <si>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</si>
  <si>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+ HANGERS-FIXTURES-5-A121 401 + SPLAY-WIRES-5-A121 743.29 = 2,689.79 LF (hangers @ 48" O.C. x drop to deck per room)</t>
  </si>
  <si>
    <t xml:space="preserve">Blocking FRT / 2X FRT wood</t>
  </si>
  <si>
    <t xml:space="preserve">2x lumber 8 ft</t>
  </si>
  <si>
    <t xml:space="preserve">N/SHEET: 7/A-413, 8A/A-413, 4/A-412, 6/A-412, 4/A-101, 2/A-500 | Breakdown [DERIVED]: BLK-STOCK 387 + BLK-RECEIVING 69 + BLK-OFFICE 85.6 + BLK-BREAK 10.67 + BLK-FE-CABINETS 16 = 568.27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</si>
  <si>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</si>
  <si>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</si>
  <si>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</si>
  <si>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3/A-221, 5/A-121, 4/A-121, 4/A-210, 2/A-210, A-001A | Breakdown [DERIVED]: W2-01 2,438.5 + W2-02 249.5 + W2-03 4,508.64 + W2-04 1,958.22 + W2-05 174.14 + W2-06.1 65.74 + W2-06.5 107.25 + W2-08 174.14 + W2-09 245.48 + W3-01 58.72 + W3-02 192 + W3-05 58.72 + W3-03 192 + W3-06 58.72 + W3-04 58.72 + W4-28a 135 + W4-28b 27.6 + W4-28c 27.6 + W4-28d 26.56 + W4-28e 25.8 + W4-29a 64.04 + W4-29b 64.04 + W4-29c 64.34 + W4-29d 64.34 + W4-29e 64.04 + W4-29f 64.34 + W4-30a 64.2 + W4-30b 64.2 + W4-30c 64.2 + W4-30d 64.2 + W4-30e 64.2 + W4-30f 64.2 + W4-31a 135 + W4-31b 27.6 + W4-31c 27.6 + W4-31d 26.24 + W4-31e 25.2 + CW-01 64 + CW-02 64 + CW-03 64 + CW-04 64 + CW-05 64 + CW-06 64 + CW-07 64 + CW-08 64 + CW-09 64 + C-H1-N 678.44 + C-H1-W 115.61 + C-H2a 304.25 + C-H3a 30.94 + C-H3b 151.68 + C-I-P.1 10 + C-I 23.1 + SS-N 227.7 + SS-E 101.2 + SS-IN-N 10 + SS-IN-E 3.12 + SS-GG 61.67 + C-I-E1 6.03 + C-I-E2 6.03 + ceiling Cafe 103 - 11'-6" GWB band 125.07 + ceiling Cafe 103 - 9'-0" GWB band 50.67 + ceiling Cafe Seating Area 102 - GWB cloud 573.69 + ceiling Cafe 103 - 11'-0" GWB zone 109.65 + ceiling Grab &amp; Go 25.16 + VEST-GWB 105.5 + SS-GG-BOTTOM-GWB 3.73 + VEST-GWB-BANDS 14.96 = 15,109.23 SF (faces: length x face height x layers - openings; ceilings: RCP area)</t>
  </si>
  <si>
    <t xml:space="preserve">5/8" gypsum board, Type X W.R. (water resistant)</t>
  </si>
  <si>
    <t xml:space="preserve">N/SHEET: 2/A-410, 5/A-410, 5/A-121, 22/A-201, A-001A | Breakdown [DERIVED]: W2-05 67.59 + W2-06.1 62.28 + W2-06.2 41.25 + W2-06.3 90.1 + W2-06.4 41.25 + W2-06.5 172.17 + W2-07 255.34 + W2-08 187.75 + W5-01 102.6 + ceiling Women's Restroom 109 61.19 + ceiling Men's Restroom 108 61.11 + RESTROOM-BASE-WR-DEDUCT -50.04 = 1,092.59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</si>
  <si>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</si>
  <si>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</si>
  <si>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</si>
  <si>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main tee 12 ft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</si>
  <si>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</si>
  <si>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</si>
  <si>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cross tee 4 ft</t>
  </si>
  <si>
    <t xml:space="preserve">USG channel molding DGCM27</t>
  </si>
  <si>
    <t xml:space="preserve">molding 12 ft</t>
  </si>
  <si>
    <t xml:space="preserve">USG angle molding DGWM24</t>
  </si>
  <si>
    <t xml:space="preserve">Clip angle 16 ga (5/A-410 bracing clips + 7/A-210 nested header clips)</t>
  </si>
  <si>
    <t xml:space="preserve">PCS</t>
  </si>
  <si>
    <t xml:space="preserve">piece</t>
  </si>
  <si>
    <t xml:space="preserve">N/SHEET: 5/A-410, 7/A-210 | Breakdown [DERIVED]: CLIP-ANGLES-5-A410 2,518 + CLIP-ANGLES-7-A210 4 = 2,522 PCS | 2" x 2" 16 GA. CLIP ANGLE at each stud per bracing row, (4) TEK SCREWS (5/A-410): rows x studs = W2-01 6x38 + W2-02 6x5 + W2-03 6x72 + W2-04 6x44 + W2-05 6x11 + W2-06.1 6x7 + W2-06.2 6x3 + W2-06.3 6x5 + W2-06.4 6x3 + W2-06.5 6x10 + W2-07 6x7 + W2-08 6x11 + W2-09 6x11 + W5-01 6x6 + W3-01 1x4 + W3-02 1x10 + W3-05 1x4 + W3-03 1x10 + W3-06 1x4 + W3-04 1x4 + W4-28a 1x8 + W4-28b 1x3 + W4-28c 1x3 + W4-28d 1x3 + W4-28e 1x3 + W4-29a 1x5 + W4-29b 1x5 + W4-29c 1x5 + W4-29d 1x5 + W4-29e 1x5 + W4-29f 1x5 + W4-30a 1x5 + W4-30b 1x5 + W4-30c 1x5 + W4-30d 1x5 + W4-30e 1x5 + W4-30f 1x5 + W4-31a 1x8 + W4-31b 1x3 + W4-31c 1x3 + W4-31d 1x3 + W4-31e 1x3 + CW-01 1x12 + CW-02 1x12 + CW-03 1x12 + CW-04 1x12 + CW-05 1x12 + CW-06 1x12 + CW-07 1x12 + CW-08 1x12 + CW-09 1x12 + C-H1-N 6x24 + C-H1-W 6x11 + C-H2a 6x11 + C-H2b 6x3 + C-H3a 6x5 + C-H3b 6x6 + C-E2 6x23 + C-E1-S 6x19 + C-I-P.1 6x2 + C-E1-P.2 6x3 + C-E1-B 6x3 + C-F 6x4 + C-I 6x3 + SS-N 3x19 + SS-E 3x9 + SS-IN-N 3x16 + SS-IN-E 3x6 + SS-GG 4x6 = 2518 pcs; 3"x3"x16 GA. CLIP ANGLES at the nested header to jamb connection (7/A-210): 2 header ends x 2 (front / back) = 4 pcs (conservative; count not printed - RFI-51)</t>
  </si>
  <si>
    <t xml:space="preserve">#8 pan head self-tapping screws, relief channel to structure (8/A-410)</t>
  </si>
  <si>
    <t xml:space="preserve">N/SHEET: 8/A-410 | Breakdown [DERIVED]: PAN-HEAD-8-A410 291 = 291 PCS | 8/A-410 "CONTINUOUS 20 GA. X 2" MIN DEEP RELIEF CHANNEL - ANCHOR TO STEEL PLATE WITH #8 PAN HEAD SELF TAPPING SCREWS AT 24" O.C. AND 6" FROM ENDS": sum(ROUNDUP(L / 2) + 1) over 32 runs to structure (479.85 LF) = 291 pcs; note 8.C X-EDNI = alternative in RFI-51)</t>
  </si>
  <si>
    <t xml:space="preserve">#10-16 x 3/4" Tek screws, pan head, at 16 ga clip angles and nested header / column / beam (5/A-410; 7/A-210; 8/A-210; A-410 note 8.A)</t>
  </si>
  <si>
    <t xml:space="preserve">N/SHEET: 5/A-410, 7/A-210, 8/A-210, 1/A-210 | Breakdown [DERIVED]: TEK-SCREWS-CLIPS 10,668 = 10,668 PCS | 5/A-410 "2" x 2" 16 GA. CLIP ANGLE ... (4) TEK SCREWS": 2518 clips x 4 = 10072 + 7/A-210 "(4) #10-16 SCREWS": 4 clips x 4 = 16 + 7/A-210 "RUNNER TRACK ATTACHED TO HEADER SUING (2) TEK SCREWS AT 16" O.C" top and bottom runner: 2 runners x 2 x (ROUNDUP(12.667 / 1.333) + 1) = 44 + 8/A-210 "(8) #10-16 TEKS 16"O.C., TYP.": nested beam (ROUNDUP(12.667 / 1.333) + 1) x 8 = 88 + nested columns 6 x (ROUNDUP(10.5 / 1.333) + 1) x 8 = 432 + 7/A-210 head attachment "#10-16 TEK SCREWS (TYP.)": 2 clips x 8 = 16; total 10668 pcs. Header 12'-8" = 1/A-210 front dimension chain (152"). Size: 5/A-410 prints none; the clip is 16 ga, so A-410 note 8.A "18/16 GAUGE - #10 - 16 X 3/4" TEKS" applies (7/A-210 and 8/A-210 print #10-16)</t>
  </si>
  <si>
    <t xml:space="preserve">16 ga wire at seismic brace points (5/A-121)</t>
  </si>
  <si>
    <t xml:space="preserve">N/SHEET: 5/A-121 | Breakdown [DERIVED]: SEISMIC-VERTICAL-WIRE-5-A121 131.42 = 131.42 LF | 5/A-121 "16 GA. WIRE 12'-0\" O.C. EACH WAY AND WITHIN 6'-0\" OF EACH WALL" vertical wire at each brace point: groups Women's 1 x drop 16.0; Men's 1 x drop 16.0; Cafe 11'-6" band 1 x drop 13.5; Cafe 9'-0" band 1 x drop 16.0; Cafe cloud 4 x drop 13.0; Grab &amp; Go 1 x drop 17.917 -&gt; sum(groups x drop) = 131.42 LF (conservative - RFI-38) the 1-5/8" x 16 ga metal joist framing @ 48" O.C. on 5/A-121 is the horizontal carrying member (no post drawn)</t>
  </si>
  <si>
    <t xml:space="preserve">P.A.F. 3/16" x 3/8" at cross member ends (8/A-410)</t>
  </si>
  <si>
    <t xml:space="preserve">N/SHEET: 8/A-410 | Breakdown [DERIVED]: PAF-CROSS-MEMBERS-8-A410 282 = 282 PCS | 8/A-410 PARALLEL TO STRUCTURE "METAL STUD PER SCHEDULE W/ (1) 3/16" 3/8" P.A.F. AT EACH END": 141 cross members x 2 = 282 pcs (RFI-41)</t>
  </si>
  <si>
    <t xml:space="preserve">5/8" cement board (tile base)</t>
  </si>
  <si>
    <t xml:space="preserve">N/SHEET: 22/A-201 | Breakdown [DERIVED]: RESTROOM-BASE-CEMENT 50.04 = 50.04 SF | 5/8" CEMENT BOARD BASE 1'-2" (22/A-201; A-001A Div 09 J.2): W2-05 7.51 + W2-06.1 6.92 + W2-06.2 2.23 + W2-06.3 2.41 + W2-06.3 2.46 + W2-06.4 2.23 + W2-06.5 6.88 + W2-07 7.51 + W5-01 5.7 + W5-01 5.7 = 49.55 LF - doors 8, 9 (6.66) = 42.89 LF x 1'-2" = 50.04 SF</t>
  </si>
  <si>
    <t xml:space="preserve">Plywood screws #10-24 x 1-1/4" Teks/3 (A-410 note 8.D)</t>
  </si>
  <si>
    <t xml:space="preserve">N/SHEET: A-410 | Breakdown [DERIVED]: PLYWOOD-SCREWS-8D 2,331 = 2,331 PCS | A-410 Partition Notes 8.D "#10-24 X 1-1/4\" TEKS/3 ... 24\" O.C. FIELD, 12\" O.C. PERIMETER": 4x8 sheet on studs @ 16" = 24 perimeter + 10 field = 34 screws / 32 SF; 2192.98 SF FRT plywood x 34/32 = 2331 pcs</t>
  </si>
  <si>
    <t xml:space="preserve">Cement board screws 1-1/4" (manufacturer spacing)</t>
  </si>
  <si>
    <t xml:space="preserve">N/SHEET: E/A-221, A/A-221, B/A-221, C/A-221, D/A-221, 22/A-201 | Breakdown [DERIVED]: CEMENT-BOARD-SCREWS 1,686 = 1,686 PCS | cement board screws @ 8" O.C. on studs @ 16" (manufacturer standard, spacing not printed - RFI-51): 3x5 board = 4 studs x 8 = 32 screws / 15 SF; 789.94 SF x 32/15 = 1686 pcs</t>
  </si>
  <si>
    <t xml:space="preserve">Nested inner runner at the deflection head (3/A-410)</t>
  </si>
  <si>
    <t xml:space="preserve">N/SHEET: 3/A-410 | Breakdown [DERIVED]: NESTED-RUNNER-3-A410 479.85 = 479.85 LF | 3/A-410 "METAL RUNNER AT STUDS - SECURE GWB TO METAL RUNNER" + "DO NOT SECURE METAL STUDS OR GWB TO DEEP LEG TRACK": inner runner = length of every wall / soffit side to deck = W2-01 48.77 + W2-02 4.99 + W2-03 94.24 + W2-04 56.76 + W2-05 12.92 + W2-06.1 6.92 + W2-06.2 2.23 + W2-06.3 4.87 + W2-06.4 2.23 + W2-06.5 11.29 + W2-07 7.51 + W2-08 12.92 + W2-09 12.92 + W5-01 5.7 + C-H1-N 29.98 + C-H1-W 12.17 + C-H2a 12.17 + C-H2b 1.95 + C-H3a 4.08 + C-H3b 6.17 + C-E2 29.3 + C-E1-S 23.46 + C-I-P.1 1.0 + C-E1-P.2 2.11 + C-E1-B 2.31 + C-F 3.26 + C-I 2.31 + SS-N 22.77 + SS-E 10.12 + SS-IN-N 20.0 + SS-IN-E 6.25 + SS-GG 6.167 = 479.85 LF (RFI-40 confirms the reading)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</si>
  <si>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</si>
  <si>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</si>
  <si>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CORNER-BEAD-SOFFITS 65.31 +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957.03 LF</t>
  </si>
  <si>
    <t xml:space="preserve">1/2" cement board / cementitious backer</t>
  </si>
  <si>
    <t xml:space="preserve">N/SHEET: E/A-221, A/A-221, B/A-221, D/A-221, C/A-221 | Breakdown [DERIVED]: C-E1-S Cafe 103 475 + C-E1-P.2 Cafe 103 52.75 + C-E1-B Cafe 103 57.75 + C-A-1 Cafe 103 26.78 + C-A-1 Cafe 103 26.78 + C-A-2 Cafe 103 11.21 + C-A-2 Cafe 103 11.21 + C-A-3 Cafe 103 16.9 + C-A-3 Cafe 103 16.9 + C-B Cafe 103 8.58 + C-B Cafe 103 8.58 + C-D Cafe 103 5.14 + C-D Cafe 103 5.14 + C-C Cafe 103 8.58 + C-C Cafe 103 8.58 = 739.88 SF</t>
  </si>
  <si>
    <t xml:space="preserve">Track 3-5/8" (14 ga 157.81 LF + 16 ga 5.00 LF + 20 ga 118.28 LF) at soffits, fire stop at ceiling line and nested columns</t>
  </si>
  <si>
    <t xml:space="preserve">N/SHEET: 3/A-410, 2/A-221, 8/A-210 | Breakdown [DERIVED]: SS-N 45.54 + SS-E 20.24 + SS-IN-N 40 + SS-IN-E 12.5 + VEST-POSTS-TRACK 5 + FIRESTOP-W2-04 56.76 + FIRESTOP-W2-05 12.92 + FIRESTOP-W2-06.1 6.92 + FIRESTOP-W2-06.2 2.23 + FIRESTOP-W2-06.3 4.87 + FIRESTOP-W2-06.4 2.23 + FIRESTOP-W2-06.5 11.29 + FIRESTOP-W2-07 7.51 + FIRESTOP-W2-08 12.92 + FIRESTOP-W2-09 12.92 + FIRESTOP-C-H2a 12.17 + FIRESTOP-W2-03 13.12 + FIRESTOP-C-H2b 1.95 = 281.09 LF</t>
  </si>
  <si>
    <t xml:space="preserve">Track 6" (16 ga 25.33 LF + 20 ga 118.73 LF) at soffits, fire stop at ceiling line and nested beam</t>
  </si>
  <si>
    <t xml:space="preserve">N/SHEET: 3/A-410, 3/A-221, 8/A-210 | Breakdown [DERIVED]: SS-GG 12.33 + VEST-BOX-BEAM-TRACK 25.33 + FIRESTOP-W5-01 5.7 + FIRESTOP-C-H1-N 29.98 + FIRESTOP-C-H1-W 12.17 + FIRESTOP-C-E2 29.3 + FIRESTOP-C-H3a 4.08 + FIRESTOP-C-H3b 6.17 + FIRESTOP-C-E1-S 19 = 144.06 LF</t>
  </si>
  <si>
    <t xml:space="preserve">8" ledger track (gauge not printed, RFI-54) (4/A-210)</t>
  </si>
  <si>
    <t xml:space="preserve">N/SHEET: 4/A-210 | Breakdown [DERIVED]: VEST-LEDGER 12.67 = 12.67 LF</t>
  </si>
  <si>
    <t xml:space="preserve">#8 screws at the top chord, cross members and track (8/A-410)</t>
  </si>
  <si>
    <t xml:space="preserve">N/SHEET: 8/A-410 | Breakdown [DERIVED]: SCREWS-8-A410 775 = 775 PCS | 8/A-410 PARALLEL TO STRUCTURE: "(2) #8 SCREW AT EACH STUD" 141 cross members x 2 = 282 + "ATTACH TO TRACK W/ #8 SCREWS AT 24" O.C." sum(ROUNDUP(L / 2) + 1) over the walls parallel to the joists = 141 + "ATTACH TO TOP CORD OF EXIST'G STRUCTURE #8 SCREWS" 141 cross members x 2 ends = 282; PERPENDICULAR TO STRUCTURE: "ATTACH TO TOP CORD OF EXIST'G STRUCTURE W/ #8 SCREWS" one per joist crossing, sum(ROUNDUP(L / 5.0) + 1) over 262.46 LF = 70 (joist spacing 5'-0" not printed, same assumption as the cross members - RFI-41); total 775 pcs</t>
  </si>
  <si>
    <t xml:space="preserve">3-5/8" stud, framed soffit 2/A-221 (LF)</t>
  </si>
  <si>
    <t xml:space="preserve">N/SHEET: 2/A-221, 1/A-121 | Breakdown [DERIVED]: Cafe 103 - 11'-0" GWB zone: framed_soffit: ROUNDUP(23.25/2)+1 = 13 joists x 4.716 = 61.31 LF 3-5/8" joists = 61.31 LF (framed soffit joists, 2/A-221)</t>
  </si>
  <si>
    <t xml:space="preserve">Blocking 2X wood (not labeled FRT)</t>
  </si>
  <si>
    <t xml:space="preserve">N/SHEET: 7/A-413, 8A/A-413, 4/A-412, 6/A-412, 4/A-101, 2/A-500 | Breakdown [DERIVED]: BLK-CASED-OPENING 17 = 17 LF</t>
  </si>
  <si>
    <t xml:space="preserve">FRT plywood substrate (5/8 in.)</t>
  </si>
  <si>
    <t xml:space="preserve">N/SHEET: G/A-221, H/A-221, E/A-221, F/A-221, I/A-221, 1/A-226A, 6/A-226A, 3/A-221, A-410 (ALL PLYWOOD NEEDS TO BE FRT) | Breakdown [DERIVED]: C-H1-N-B-FRT 314.79 + C-H1-W-B-FRT 127.78 + C-H2a-A-FRT 127.78 + C-H2b-A-FRT 20.47 + C-H2b-B-FRT 20.47 + C-H3a-A-FRT 102 + C-H3b-A-FRT 49.36 + C-E2-A-FRT 307.65 + C-F-A-FRT 81.5 + C-I-P.1-A-FRT 15 + C-I-A-FRT 34.65 + SS-N-WD1-FRT 318.78 + SS-E-WD1-FRT 141.68 + SS-GG-FRT 110.49 + C-I-E1-A-FRT 9.04 + C-I-E2-A-FRT 9.04 = 1,790.48 SF (strip length x height)</t>
  </si>
  <si>
    <t xml:space="preserve">FRT plywood substrate (3/4 in.)</t>
  </si>
  <si>
    <t xml:space="preserve">N/SHEET: A/A-221, B/A-221, 4/A-226A, 21/A-201, 5/A-210, 4/A-210, 11/A-200, 2/E-103, A-410 (ALL PLYWOOD NEEDS TO BE FRT) | Breakdown [DERIVED]: C-A-1-A-FRT 26.78 + C-A-2-A-FRT 11.21 + C-A-3-A-FRT 16.9 + C-B-A-FRT 8.58 + MENU-BOARD-FRT 60.6 + RESTROOM-BACKING-FRT 17.77 + VEST-POSTS-PLYWOOD 105 + VEST-PLYWOOD 106.62 + JANITOR-FRT-11-A200 17 + SERVER-ROOM-BACKBOARD 32 = 402.46 SF (strip length x height)</t>
  </si>
  <si>
    <t xml:space="preserve">Hanger wire 12 ga - hanger count (one per hanger, height per room)</t>
  </si>
  <si>
    <t xml:space="preserve">each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</si>
  <si>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</si>
  <si>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</t>
  </si>
  <si>
    <t xml:space="preserve">N/SHEET: A-500 | Door 11 (W2-03): (4.0 + 2 x 0.667) x 1 = 5.33; Door 3 (C-H2a): (4.0 + 2 x 0.667) x 1 = 5.33</t>
  </si>
  <si>
    <t xml:space="preserve">Stud reinforcement at MEP penetrations</t>
  </si>
  <si>
    <t xml:space="preserve">[RFI] N/SHEET: 6/A-410, 7/A-410 | RFI: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 Delta: per duct crossing a stud wall: + MAX(1, ROUNDUP(duct width / 16")) stud reinforcement plates x stud rows (take-off default, not printed: 6/A-410 and 7/A-410 are pipe firestopping only); plus 1 duct sleeve each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</si>
  <si>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</si>
  <si>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</si>
  <si>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</si>
  <si>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</si>
  <si>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</si>
  <si>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</si>
  <si>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</t>
  </si>
  <si>
    <t xml:space="preserve">[DERIVED] N/SHEET: 4/A-226B, 12/A-200 | none: FRP-1 (A-510): Cafe Work Room 104 FRP-1 full height to the 10'-0" ceiling (1-4/A-226B); Janitor 107 FRP-1 to 96" A.F.F. (A-131) / 8'-0" (9-12/A-200); Cafe 103 below countertop. Installer not defined (A-002) - not carried, RFI-13 with delta (1,030.64 SF) - PVC trim with it.</t>
  </si>
  <si>
    <t xml:space="preserve">Power-driven fasteners and duct sleeves</t>
  </si>
  <si>
    <t xml:space="preserve">[DERIVED] N/SHEET: A-000, A-101, A-410, A-500 | none: no parapet infill, coiling grille or duct sleeve detail in the set (A-000 index; A-101, A-410, A-500)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</si>
  <si>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</si>
  <si>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</si>
  <si>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#7 x 1-1/4" Type S bugle head (board on 25/20 ga studs)</t>
  </si>
  <si>
    <t xml:space="preserve">[DERIVED] N/SHEET: A-410, A-001A | Inputs!B20 (Drywall screws per SF of board = 1.2) x 5095.03 SF of board</t>
  </si>
  <si>
    <t xml:space="preserve">Framing screws #8-18 x 1/2" pan head (25/20 ga studs)</t>
  </si>
  <si>
    <t xml:space="preserve">[DERIVED] N/SHEET: A-410 note 8.A | Inputs!B21 (Framing screws per stud piece = 4) x 485 stud pieces | Breakdown [DERIVED]: 4 x 485 stud pieces of the 25/20 ga walls and other framing [C-A-1 11 + C-A-2 6 + C-A-3 7 + C-B 6 + C-C 4 + C-D 6 + C-E1-B 5 + C-E1-P.2 3 + C-E1-S 21 + C-E2 23 + C-H1-N 26 + C-H1-W 12 + C-H3a 6 + C-H3b 7 + C-I 3 + C-I-P.1 3 + SS-E 9 + SS-GG 6 + SS-IN-E 6 + SS-IN-N 18 + SS-N 20 + W3-01 4 + W3-02 12 + W3-03 12 + W3-04 4 + W3-05 4 + W3-06 4 + W4-28a 10 + W4-28b 4 + W4-28c 4 + W4-28d 4 + W4-28e 4 + W4-29a 6 + W4-29b 6 + W4-29c 6 + W4-29d 6 + W4-29e 6 + W4-29f 6 + W4-30a 6 + W4-30b 6 + W4-30c 6 + W4-30d 6 + W4-30e 6 + W4-30f 6 + W4-31a 10 + W4-31b 4 + W4-31c 4 + W4-31d 3 + W4-31e 3 + W5-01 7 (walls 377); CW-01 12; CW-02 12; CW-03 12; CW-04 12; CW-05 12; CW-06 12; CW-07 12; CW-08 12; CW-09 12; C-I-E1.6" 0; C-I-E2.6" 0] = 1940</t>
  </si>
  <si>
    <t xml:space="preserve">Power-driven fasteners, slab pins for the bottom track</t>
  </si>
  <si>
    <t xml:space="preserve">[DERIVED] N/SHEET: A-410 note 8.F (9/A-410 = alternate) | 518.29 LF of interior bottom track on slab / Inputs!B22 (Power-driven pin spacing (ft) = 0.666667)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</si>
  <si>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</si>
  <si>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</si>
  <si>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</si>
  <si>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</si>
  <si>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</si>
  <si>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A-001A Div 09 A.8 | Inputs!B23 (Joint compound (lb per SF) = 0.072) x 16201.9 SF of board</t>
  </si>
  <si>
    <t xml:space="preserve">Joint tape, paper</t>
  </si>
  <si>
    <t xml:space="preserve">[DERIVED] N/SHEET: A-001A Div 09 A.8 | Inputs!B24 (Joint tape (LF per SF) = 0.37) x 16201.9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</si>
  <si>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</si>
  <si>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</si>
  <si>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</si>
  <si>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3/A-410 | none: Deflection by deep leg track / slotted deflection at the top of full height walls (3/A-410 Top Track Detail, 2/A-410 "SLOTTED DEFLECTION", A-410 partition note 7 "PROVIDE DEFLECTION TRACK AS REQUIRED"); no deflection clips called</t>
  </si>
  <si>
    <t xml:space="preserve">Heavy-gauge framing screws #10-16 x 3/4" pan head (18/16/14 ga studs)</t>
  </si>
  <si>
    <t xml:space="preserve">[DERIVED] N/SHEET: A-410 | 6 (3 per connection x 2 ends) x 296 stud pieces of the 18/16/14 ga walls (C-F 5 + C-H2a 16 + C-H2b 4 + W2-01 43 + W2-02 5 + W2-03 76 + W2-04 49 + W2-05 12 + W2-06.1 13 + W2-06.2 4 + W2-06.3 6 + W2-06.4 4 + W2-06.5 19 + W2-07 8 + W2-08 16 + W2-09 16 = 296) = 1776</t>
  </si>
  <si>
    <t xml:space="preserve">Type S-12 drywall screws #6 x 1-1/4" (board on 18/16/14 ga studs)</t>
  </si>
  <si>
    <t xml:space="preserve">[DERIVED] N/SHEET: A-410 | 1.2 x (11143.59 SF of board on the 18/16/14 ga walls (C-F, C-H2a, C-H2b, W2-01, W2-02, W2-03, W2-04, W2-05, W2-06.1, W2-06.2, W2-06.3, W2-06.4, W2-06.5, W2-07, W2-08, W2-09) - 36.74 SF cement board base on those walls (22/A-201) = 11106.85 SF) = 13328.22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</si>
  <si>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</si>
  <si>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</si>
  <si>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</si>
  <si>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</si>
  <si>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carried one pin every 8.0" (A-410 note 8.F X-DNI 2 rows @ 16" O.C. (printed, conservative); 9/A-410 0.177" PAF @ 24" = alternative); alternatives: one row @ 16" / one row @ 24"</t>
  </si>
  <si>
    <t xml:space="preserve">16in: -388.72 pcs; 24in: -518.29 pcs</t>
  </si>
  <si>
    <t xml:space="preserve">RFI-ACC-stud-reinforcement-mep</t>
  </si>
  <si>
    <t xml:space="preserve">stud reinforcement MEP: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</t>
  </si>
  <si>
    <t xml:space="preserve">per duct crossing a stud wall: + MAX(1, ROUNDUP(duct width / 16")) stud reinforcement plates x stud rows (take-off default, not printed: 6/A-410 and 7/A-410 are pipe firestopping only);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</si>
  <si>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</si>
  <si>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</si>
  <si>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</si>
  <si>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</si>
  <si>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</si>
  <si>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</si>
  <si>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</si>
  <si>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 the elevations also print 21'-9" V.I.F. at the right end of 2/A-400A and 23'-8" V.I.F. on A-400B (joists sloping): the B.O. deck range is wider than 24'-0" to 25'-7".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</si>
  <si>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</si>
  <si>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</si>
  <si>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</si>
  <si>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</si>
  <si>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</si>
  <si>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</si>
  <si>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</si>
  <si>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</si>
  <si>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</si>
  <si>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</si>
  <si>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</si>
  <si>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</si>
  <si>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</si>
  <si>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</si>
  <si>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</si>
  <si>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</si>
  <si>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</si>
  <si>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</si>
  <si>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</si>
  <si>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</si>
  <si>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</si>
  <si>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</si>
  <si>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</si>
  <si>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</si>
  <si>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</si>
  <si>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</si>
  <si>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</si>
  <si>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FRP-1 (A-510): Cafe Work Room 104 FRP-1 full height to the 10'-0" ceiling (1-4/A-226B); Janitor 107 FRP-1 to 96" A.F.F. (A-131) / 8'-0" (9-12/A-200). Who furnishes / installs the FRP is not defined (A-002). Substrate: E/A-221 and G/A-221 call 5/8" FRT plywood on the Work Room faces; 3/A-225 draws a dotted (board) fill - conflict. Not carried(rev7): heights corrected.</t>
  </si>
  <si>
    <t xml:space="preserve">If FRP is in our scope: Cafe Work Room 87.52 LF x 10.0 = 875.20 SF + Janitor 19.43 LF x 8.0 = 155.44 SF = 1,030.64 SF FRP-1 gross (doors not deducted) + PVC trim (J-mold, inside corners).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</si>
  <si>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</si>
  <si>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</si>
  <si>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</si>
  <si>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</si>
  <si>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</si>
  <si>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</si>
  <si>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</si>
  <si>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</si>
  <si>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</si>
  <si>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</si>
  <si>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</si>
  <si>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</si>
  <si>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</si>
  <si>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</si>
  <si>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</si>
  <si>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</si>
  <si>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</si>
  <si>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</si>
  <si>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</si>
  <si>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</si>
  <si>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</si>
  <si>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</si>
  <si>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</si>
  <si>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</si>
  <si>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</si>
  <si>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</si>
  <si>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</si>
  <si>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</si>
  <si>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17.00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</si>
  <si>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</si>
  <si>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</si>
  <si>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</si>
  <si>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</si>
  <si>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</si>
  <si>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</si>
  <si>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</si>
  <si>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</si>
  <si>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</si>
  <si>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</si>
  <si>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15,109.29 SF = walls 14,100.86 + GWB ceilings 884.24 (Cafe 103 - 11'-6" GWB band 125.07, Cafe 103 - 9'-0" GWB band 50.67, Cafe Seating Area 102 - GWB cloud 573.69, Cafe 103 - 11'-0" GWB zone 109.65, Grab &amp; Go 25.16) + VEST-GWB 105.5 + SS-GG-BOTTOM-GWB 3.73 + VEST-GWB-BANDS 14.96; Type X W.R. 1,092.59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</si>
  <si>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</si>
  <si>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0); their bottom track is not on slab pins (3/A-410, 4/A-410 "3 5/8" X 20GA TRACK W/ (2)-1/4"ø X 1 5/8" HILTI KWIK HUSEZ CONCRETE SCREW AND MOMENT CLIP - SEE DETAIL").</t>
  </si>
  <si>
    <t xml:space="preserve">If one clip per stud: + 162 moment clips (type 3 = 40 studs, type 4 = 122 studs, per-wall stud count) + 324 Kwik HUS-EZ 1/4" x 1-5/8" (2 per clip) + 324 #10-16 screws (A/A-410 "(1) #10-16 SCREW @ EACH FLANGE": 162 clips x 2). Slab pins already exclude the 122.32 LF of type 3 / 4 track.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</si>
  <si>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</si>
  <si>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</si>
  <si>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</si>
  <si>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</si>
  <si>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</si>
  <si>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</si>
  <si>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RFI-31</t>
  </si>
  <si>
    <t xml:space="preserve">Additional head track at openings: the note "ADD FULL LENGTH ADDL HEAD TRACK @ OPNG &gt; 4'-0"" quoted in rev0-rev4 is NOT on A-410 / A-500 (take-off criterion (not printed); citation corrected, audit rev4 row 8 (rev5)). Carried conservatively at the two 4'-0" doors: door 3 (C-H2a, 4'-0" x 8'-0") and door 11 (W2-03, 4'-0" x 7'-0"), A-500 door schedule.</t>
  </si>
  <si>
    <t xml:space="preserve">Carried 10.67 LF = 2 x (R.O. 4.00 ft measured jamb gap + 2 x 8" bearing); if not required: - 10.67 LF. Auditor 11.17 LF assumed R.O. 4'-3" (frame not printed): + 0.50 LF if the R.O. is 4'-3".</t>
  </si>
  <si>
    <t xml:space="preserve">RFI-32</t>
  </si>
  <si>
    <t xml:space="preserve">P-201 WATER HEATER DETAIL ("FOR RESTROOMS AND BREAKROOM"): 2x4 metal stud backing + steel blocking between studs at the anchor locations; member sizes and lengths not printed (Janitor 107, 11/A-200). audit rev4 row 5 (rev5): carried conservatively.</t>
  </si>
  <si>
    <t xml:space="preserve">Carried: 3-5/8" stud backing 2 x 4.0 ft = 8.0 LF + steel blocking 2 rows x 1.33 ft = 2.67 LF (3-5/8" stud pieces); if by the plumber: - 10.67 LF 3-5/8" stud.</t>
  </si>
  <si>
    <t xml:space="preserve">RFI-33</t>
  </si>
  <si>
    <t xml:space="preserve">11/A-200 Janitor 107: "AREA OF 3/4" FIRE RESISTANT PLYWOOD BLOCKING (TYP)" - extent not dimensioned. audit rev4 row 4 (rev5): carried at the conservative upper bound (width measured on 11/A-200 x 8'-0" HOLD).</t>
  </si>
  <si>
    <t xml:space="preserve">Carried 2.125 x 8.0 = 17.0 SF 3/4" FRT plywood; confirm extent (delta down to 0 SF).</t>
  </si>
  <si>
    <t xml:space="preserve">RFI-34</t>
  </si>
  <si>
    <t xml:space="preserve">CLOSED(rev7):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</si>
  <si>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</si>
  <si>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</si>
  <si>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3/A-410 Top Track Detail "METAL STUD/TRACK FIRE STOP AT CEILING LINE, TYP." (rev5-rev6 cited 8/A-410, which is the Typ. Connection Detail: applied to every full-height wall with a ceiling on at least one face (1/A-121); carried; confirm with the GC.</t>
  </si>
  <si>
    <t xml:space="preserve">Carried per wall (Material Summary breakdown) = 264.21 LF; if not required: minus that LF.</t>
  </si>
  <si>
    <t xml:space="preserve">RFI-36</t>
  </si>
  <si>
    <t xml:space="preserve">Surface-mounted 3/4" FRT plywood blocking at the W-3 wall fixtures "BY GC/FIXTURE INSTALLER" (1/A-414, 7/A-414): who furnishes / installs is ambiguous and the W-3 count on A-111 is not taken. Not carried - audit rev4 row 11 (rev5).</t>
  </si>
  <si>
    <t xml:space="preserve">If by the drywall contractor: + one 3/4" FRT plywood strip per W-3 unit (size per 1/A-414, 7/A-414) x W-3 count from A-111 - PENDING count.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</si>
  <si>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</si>
  <si>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</si>
  <si>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</si>
  <si>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</si>
  <si>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Ceiling seismic bracing: A-121 Ceiling Notes 1 "SEE A-420 DRAWINGS REGARDING CEILING BRACING" - A-420 is not in the set; 5/A-121 draws splay wires and a 16 ga wire @ 12'-0" O.C. each way at each brace point (the 1-5/8" x 16 ga metal joist framing @ 48" is the horizontal carrying member); A-002 Div 10 "SEISMIC BRACING" F/I by the tenant contractor. Carried conservatively on the GWB suspended ceilings.</t>
  </si>
  <si>
    <t xml:space="preserve">Carried: splay wires 743.29 LF (hanger wire row) + vertical 16 ga wire at each brace point 131.42 LF (16 ga wire row); the 1-5/8" x 16 ga metal joist framing @ 48" on 5/A-121 is the horizontal carrying member (no post). If not required: minus both.</t>
  </si>
  <si>
    <t xml:space="preserve">RFI-39</t>
  </si>
  <si>
    <t xml:space="preserve">Recessed fire extinguisher cabinets (A-101 C11, A-111 KN 9, 4/A-101 "F.R.T. WOOD STUD HEADER ABOVE AND BASE BELOW CABINET"): 4 in new walls (W2-01, W2-03 x 2, Cafe Workroom); cabinet width / rough opening not printed (Cosmopolitan fully recessed, Ambassador 1017F10).</t>
  </si>
  <si>
    <t xml:space="preserve">Carried 16.0 LF FRT 2x (4 x (2.0 + 2.0 ft)); each +1 ft of cabinet width = +8.0 LF FRT; jamb studs inside the field studs.</t>
  </si>
  <si>
    <t xml:space="preserve">RFI-40</t>
  </si>
  <si>
    <t xml:space="preserve">3/A-410 Top Track Detail: "METAL RUNNER AT STUDS - SECURE GWB TO METAL RUNNER" with "DO NOT SECURE METAL STUDS OR GWB TO DEEP LEG TRACK" read as a nested inner runner at every deflection head. Carried; confirm.</t>
  </si>
  <si>
    <t xml:space="preserve">Carried 479.85 LF nested inner runner; if a single deep leg track is accepted: minus that LF.</t>
  </si>
  <si>
    <t xml:space="preserve">RFI-41</t>
  </si>
  <si>
    <t xml:space="preserve">8/A-410 Typ. Connection Detail (PARALLEL TO STRUCTURE): full-height walls parallel to the joists (N-S) hang from metal studs spanning joist to joist; joist spacing not printed (A-400A / A-400B).</t>
  </si>
  <si>
    <t xml:space="preserve">Carried 705.0 LF (members @ 24" O.C. along the wall x 5.0 ft assumed joist spacing); each 1 ft of joist spacing = 141.0 LF. #8 screws (8/A-410) carried in their own row (775 pcs) with joists at 5'-0": one screw per joist crossing on the walls perpendicular to the joists = 70; at 4'-0" spacing: + 15 pcs. "(2) #8 SCREW AT EACH STUD" is read as 2 per cross member (drawn at the cross member / track connection) = 282; if it means 2 per wall stud @ 16" on the walls parallel to the joists: 380 (+ 98 pcs).</t>
  </si>
  <si>
    <t xml:space="preserve">RFI-42</t>
  </si>
  <si>
    <t xml:space="preserve">2/A-221 framed soffit drop "CROSS BRACING AS REQ'D": member / spacing not printed.</t>
  </si>
  <si>
    <t xml:space="preserve">Carried 90.0 LF 3-5/8" stud (pairs @ 4'-0" x 5.0 ft); if not required: minus that LF.</t>
  </si>
  <si>
    <t xml:space="preserve">RFI-43</t>
  </si>
  <si>
    <t xml:space="preserve">E/A-221 type E1 (Cafe south wall C-E1-S, C-E1-P.2, C-E1-B): 1/2" cement board height not printed; carried to deck 25'-0" (studs to deck). The Cafe 9'-0" GWB band runs along C-E1-S (1/A-121).</t>
  </si>
  <si>
    <t xml:space="preserve">If the cement board stops at 9'-0" + 6" (A-410 Partition Notes 3): C-E1-S 19.0 x 15.5 = - 294.5 SF, C-E1-P.2 2.11 x 15.5 = - 32.7 SF, C-E1-B 2.31 x 15.5 = - 35.8 SF.</t>
  </si>
  <si>
    <t xml:space="preserve">RFI-44</t>
  </si>
  <si>
    <t xml:space="preserve">H/A-221 "H3a = PLYWOOD TO TOP OF WD-1": T.O. WD-1 on the H3a Sales face not printed (A-225, A-226A). Carried: FRT plywood to deck (25'-0"), no GWB.</t>
  </si>
  <si>
    <t xml:space="preserve">If T.O. WD-1 = 15'-0" as on the Grab &amp; Go header (6/A-226A): FRT plywood - 40.8 SF (4.08 x 10.0) and 5/8" Type X + 40.8 SF.</t>
  </si>
  <si>
    <t xml:space="preserve">RFI-45</t>
  </si>
  <si>
    <t xml:space="preserve">1/A-221 Workroom door pier (1'-0" x 2'-8" HOLD) against H2a with an internal void: the C-H2a Cafe face may be concealed along the pier.</t>
  </si>
  <si>
    <t xml:space="preserve">If concealed: - 2.67 x 25.0 = - 66.7 SF 5/8" Type X on C-H2a (pier faces carried as C-E1-P.2 / C-I-P.1).</t>
  </si>
  <si>
    <t xml:space="preserve">RFI-46</t>
  </si>
  <si>
    <t xml:space="preserve">F/A-221 "3 5/8" METAL STUDS @ 16" O.C. TO BOTTOM OF NESTED STUD BRACING": the nested stud bracing member is not drawn; studs carried to deck (estimator decision 2026-10-26). the same phrase is printed on the partition types 3 and 4 (3/A-410, 4/A-410): nested stud at the top of each wall.</t>
  </si>
  <si>
    <t xml:space="preserve">Carried 6.52 LF (F) + 122.32 LF (types 3 / 4) 3-5/8" stud; define member / elevation; if not required: minus both.</t>
  </si>
  <si>
    <t xml:space="preserve">RFI-47</t>
  </si>
  <si>
    <t xml:space="preserve">Plywood material / thickness conflicts on A-225: 5/A-225 die wall "3/4" THICK MARINE GRADE PLYWOOD" vs A/A-221, B/A-221 "3/4" FRT PLYWOOD SUBSTRATE" and A-410 "ALL PLYWOOD NEEDS TO BE FRT"; 10/A-225 "1/2" F.R.T. PLYWOOD SUBSTRATE" vs I/A-221, G/A-221, H/A-221 5/8" FRT plywood. Carried as FRT, thickness per the A-221 sections.</t>
  </si>
  <si>
    <t xml:space="preserve">Same SF; material / thickness change only: die wall 63.47 SF marine vs FRT; type I end faces 18.08 SF 1/2" instead of 5/8".</t>
  </si>
  <si>
    <t xml:space="preserve">RFI-48</t>
  </si>
  <si>
    <t xml:space="preserve">Stock room shelving blocking: 7/A-413 "FRT WOOD BLOCKING IN PARTITION" vs 7A/A-413 "SURFACE MOUNT WOOD BLOCKING" (no FRT). Carried in-partition FRT 2x, 3 rows (387 LF).</t>
  </si>
  <si>
    <t xml:space="preserve">Quantity unchanged; if surface-mounted: material / installation method change only (not FRT, no board cut-outs).</t>
  </si>
  <si>
    <t xml:space="preserve">RFI-49</t>
  </si>
  <si>
    <t xml:space="preserve">2/A-500 Cased Opening Detail: "WOOD BLOCKING" across the stud return; the number / location of cased openings is not marked on A-101.</t>
  </si>
  <si>
    <t xml:space="preserve">Carried 1 opening x 17.0 LF wood blocking (not labeled FRT); each additional opening + 17.0 LF.</t>
  </si>
  <si>
    <t xml:space="preserve">RFI-50</t>
  </si>
  <si>
    <t xml:space="preserve">2/E-103 Server Room: "4'x8' FRT PLYWOOD SHEET AND POWER BY GC - ALL OTHER WORK BY OTHERS" (E-301 "fire-rated plywood terminal board"). Carried in the drywall scope (FRT plywood substrate); confirm the trade.</t>
  </si>
  <si>
    <t xml:space="preserve">Carried 32.0 SF 3/4" FRT plywood; if by the electrical contractor: - 32.0 SF.</t>
  </si>
  <si>
    <t xml:space="preserve">RFI-52</t>
  </si>
  <si>
    <t xml:space="preserve">Vestibule GWB bands above B.O. ceiling 10'-6": top of the band 11'-3 1/2" V.I.F. (2/A-210, 3/A-210, "VESTIBULE ASSEMBLY TO MATCH EXISTING STOREFRONT SYSTEM V.I.F.").</t>
  </si>
  <si>
    <t xml:space="preserve">Carried 14.96 SF; each 1" of band height = 1.89 SF (front 12.67 + sides 2 x 8.42 ft / 12).</t>
  </si>
  <si>
    <t xml:space="preserve">RFI-53</t>
  </si>
  <si>
    <t xml:space="preserve">Light fixtures in the Cafe GWB bands (11'-6" and 9'-0", 1/A-121): fixture count in the bands not taken; 5/A-121 "PROVIDE ADDITIONAL WIRE SUPPORT AT ALL LIGHT FIXTURES". E-301 Sec. 265119: "THIS CONTRACTOR SHALL PROVIDE AND INSTALL ALL NECESSARY SUPPORT MEDIA FOR ALL LIGHTING FIXTURES ... FIXTURES SHALL NOT BE SUPPORTED FROM ROOF DECK" - overlap with the 5/A-121 fixture wires carried.</t>
  </si>
  <si>
    <t xml:space="preserve">Each fixture in a band = + 1 hanger x 13.5 / 16.0 ft wire. If the fixture supports are by the electrical contractor (E-301 265119): - 401.0 LF hanger wire (29 hangers).</t>
  </si>
  <si>
    <t xml:space="preserve">RFI-51</t>
  </si>
  <si>
    <t xml:space="preserve">Fastener counts not printed: 7/A-210 3"x3"x16 ga clip angles (count per header end); cement board screw spacing (manufacturer standard 8" O.C. used); plywood screws per A-410 note 8.D (24" field / 12" perimeter on 4x8 sheets).</t>
  </si>
  <si>
    <t xml:space="preserve">Carried: clip angles 7/A-210 4 pcs; cement board screws 1686 pcs; plywood screws 2331 pcs - adjust to the estimator yields. Framing screws count the stud pieces of the walls and column wraps (781) by gauge (A-410 note 8.A); the 8/A-410 #8 screws (top chord, cross members, track) have their own row; 5/A-410 bracing clips are in the Tek screw row; diagonal brace end screws (3/A-410) are not printed and not carried (if 2 per end: + 512 #8). 9/A-410 calls #8 screws stud to track while note 8.A calls #10-16 on 18/16 ga - carried per 8.A. relief channel to structure carried with 8/A-410 #8 pan head screws (291 pcs) + P.A.F. at cross members (282 pcs); note 8.C X-EDNI (2 rows @ 16" = 720 pcs) is the alternative if the track bears directly on structural steel. Slab pins carried per note 8.F (2 rows @ 16" X-DNI); 9/A-410 alternative 0.177" PAF @ 24" = - 518.29 pcs (518.29 LF of interior bottom track on slab). 8/A-210 "(8) #10-16 TEKS 16"O.C., TYP." read as 8 per station at 16" O.C. (520 pcs carried); if 8 per member in total: - 464 pcs. 7/A-210 head attachment clips: 2 assumed (16 screws), count not printed.</t>
  </si>
  <si>
    <t xml:space="preserve">RFI-54</t>
  </si>
  <si>
    <t xml:space="preserve">Ceiling perimeter track at the suspended GWB ceilings (Women's 109, Men's 108, Cafe 103 bands 11'-6" and 9'-0", Grab &amp; Go 7'-1"): 5/A-121 draws the perimeter attachment but prints no track size; the stud size of the wall it attaches to varies.</t>
  </si>
  <si>
    <t xml:space="preserve">Carried 180.99 LF in its own row (size not printed). If the perimeter is the USG angle molding DGWM24 already carried: - 180.99 LF of track; if 3-5/8" track: no LF change (price only). 8" ledger (4/A-210 "8" LEDGER"): gauge not printed; carried 12.67 LF of 8" track - if 16 ga as the 8/A-210 nested members, no LF change (price only).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</si>
  <si>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</si>
  <si>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</si>
  <si>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</si>
  <si>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</si>
  <si>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</si>
  <si>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</si>
  <si>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</si>
  <si>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</si>
  <si>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</si>
  <si>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</si>
  <si>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</si>
  <si>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</si>
  <si>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</si>
  <si>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</si>
  <si>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</si>
  <si>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</si>
  <si>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</si>
  <si>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</si>
  <si>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</si>
  <si>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</si>
  <si>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</si>
  <si>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</si>
  <si>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</si>
  <si>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(own rows by size, 3/A-410) (3/A-410, RFI-35) and additional head track 10.67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</si>
  <si>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</si>
  <si>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</si>
  <si>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</si>
  <si>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</si>
  <si>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</si>
  <si>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</si>
  <si>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</si>
  <si>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</si>
  <si>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15,109.29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</si>
  <si>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</si>
  <si>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</si>
  <si>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</si>
  <si>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</si>
  <si>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</si>
  <si>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</si>
  <si>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</si>
  <si>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</si>
  <si>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1,790.51 SF (Cafe types G, H, E2, F, I and Grab &amp; Go soffit 3/A-221; soffit faces 2/A-221) + 3/4" 402.46 SF (counters A/B, menu boards 4/A-226A, restroom backing 21/A-201, vestibule 4/A-210, 5/A-210, janitor 11/A-200) - breakdown in Material Summary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</si>
  <si>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</si>
  <si>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</si>
  <si>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</si>
  <si>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</si>
  <si>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</si>
  <si>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</si>
  <si>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</si>
  <si>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</si>
  <si>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</si>
  <si>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</si>
  <si>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</si>
  <si>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</si>
  <si>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</si>
  <si>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</si>
  <si>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</si>
  <si>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</si>
  <si>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</si>
  <si>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+ 2X wood 17.0 LF (2/A-500) + 3/4" FRT plywood menu boards 60.61 SF (4/A-226A) + restroom backing 17.78 SF (21/A-201) + janitor 17.0 SF (11/A-200, RFI-33); water heater backing P-201 10.67 LF 3-5/8" stud (RFI-32); W-3 surface blocking 1/A-414 RFI-36.</t>
  </si>
  <si>
    <t xml:space="preserve">ALC-17</t>
  </si>
  <si>
    <t xml:space="preserve">Framed openings (MEP, access panels, diffusers)</t>
  </si>
  <si>
    <t xml:space="preserve">RFI: access panels RFI-30;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</si>
  <si>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</si>
  <si>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</si>
  <si>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no control joint printed (RFI-24).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</si>
  <si>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</si>
  <si>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</si>
  <si>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</si>
  <si>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</si>
  <si>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</si>
  <si>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</si>
  <si>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</si>
  <si>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</si>
  <si>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</si>
  <si>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</si>
  <si>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</si>
  <si>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</si>
  <si>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</si>
  <si>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</si>
  <si>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</si>
  <si>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</si>
  <si>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</si>
  <si>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</si>
  <si>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</si>
  <si>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</si>
  <si>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</si>
  <si>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</si>
  <si>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</si>
  <si>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</si>
  <si>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</si>
  <si>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</si>
  <si>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</si>
  <si>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</si>
  <si>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</si>
  <si>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</si>
  <si>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</si>
  <si>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</si>
  <si>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</si>
  <si>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</si>
  <si>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</si>
  <si>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</si>
  <si>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</si>
  <si>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"f57c866aa19291d9ab50251a5a62c3b4fd8494f2fc5018328ff6ea7aa0c88d53", "evidencias": "82f4ec13c901d7191f9772989e98854d158340ab19499f6cfbada96ca6cbd21e", "familias_out": "1aafad57f097613038fcdaec2e28a2c202aed028b37f51cda714990dc647b4d7", "reglas": "ba8bd6e1d9f05fc9d972b956fc70d6670e442c3778886e8c3bd2d878c81dab17",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</si>
</sst>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0.666667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8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0" t="s">
        <v>56</v>
      </c>
    </row>
    <row r="4" customFormat="false" ht="15" hidden="false" customHeight="false" outlineLevel="0" collapsed="false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67</v>
      </c>
    </row>
    <row r="5" customFormat="false" ht="15" hidden="false" customHeight="false" outlineLevel="0" collapsed="false">
      <c r="A5" s="5" t="s">
        <v>68</v>
      </c>
    </row>
    <row r="6" customFormat="false" ht="15" hidden="false" customHeight="false" outlineLevel="0" collapsed="false">
      <c r="A6" s="0" t="s">
        <v>69</v>
      </c>
      <c r="B6" s="0" t="s">
        <v>70</v>
      </c>
      <c r="C6" s="0" t="n">
        <v>53.76</v>
      </c>
      <c r="D6" s="0" t="n">
        <v>25</v>
      </c>
      <c r="E6" s="0" t="n">
        <v>2</v>
      </c>
      <c r="F6" s="0" t="s">
        <v>71</v>
      </c>
      <c r="G6" s="0" t="n">
        <v>16</v>
      </c>
      <c r="H6" s="0" t="n">
        <v>2688</v>
      </c>
      <c r="I6" s="0" t="s">
        <v>72</v>
      </c>
      <c r="J6" s="0" t="s">
        <v>73</v>
      </c>
      <c r="K6" s="0" t="s">
        <v>74</v>
      </c>
    </row>
    <row r="7" customFormat="false" ht="15" hidden="false" customHeight="false" outlineLevel="0" collapsed="false">
      <c r="A7" s="0" t="s">
        <v>75</v>
      </c>
      <c r="B7" s="0" t="s">
        <v>76</v>
      </c>
      <c r="C7" s="0" t="n">
        <v>94.24</v>
      </c>
      <c r="D7" s="0" t="n">
        <v>25</v>
      </c>
      <c r="E7" s="0" t="n">
        <v>2</v>
      </c>
      <c r="F7" s="0" t="s">
        <v>71</v>
      </c>
      <c r="G7" s="0" t="n">
        <v>16</v>
      </c>
      <c r="H7" s="0" t="n">
        <v>4508.64</v>
      </c>
      <c r="I7" s="0" t="s">
        <v>77</v>
      </c>
      <c r="J7" s="0" t="s">
        <v>73</v>
      </c>
      <c r="K7" s="0" t="s">
        <v>74</v>
      </c>
    </row>
    <row r="8" customFormat="false" ht="15" hidden="false" customHeight="false" outlineLevel="0" collapsed="false">
      <c r="A8" s="0" t="s">
        <v>78</v>
      </c>
      <c r="B8" s="0" t="s">
        <v>79</v>
      </c>
      <c r="C8" s="0" t="n">
        <v>56.76</v>
      </c>
      <c r="D8" s="0" t="n">
        <v>25</v>
      </c>
      <c r="E8" s="0" t="n">
        <v>2</v>
      </c>
      <c r="F8" s="0" t="s">
        <v>71</v>
      </c>
      <c r="G8" s="0" t="n">
        <v>16</v>
      </c>
      <c r="H8" s="0" t="n">
        <v>1958.22</v>
      </c>
      <c r="I8" s="0" t="s">
        <v>80</v>
      </c>
      <c r="J8" s="0" t="s">
        <v>73</v>
      </c>
      <c r="K8" s="0" t="s">
        <v>74</v>
      </c>
    </row>
    <row r="9" customFormat="false" ht="15" hidden="false" customHeight="false" outlineLevel="0" collapsed="false">
      <c r="A9" s="0" t="s">
        <v>81</v>
      </c>
      <c r="B9" s="0" t="s">
        <v>82</v>
      </c>
      <c r="C9" s="0" t="n">
        <v>12.92</v>
      </c>
      <c r="D9" s="0" t="n">
        <v>25</v>
      </c>
      <c r="E9" s="0" t="n">
        <v>2</v>
      </c>
      <c r="F9" s="0" t="s">
        <v>71</v>
      </c>
      <c r="G9" s="0" t="n">
        <v>16</v>
      </c>
      <c r="H9" s="0" t="n">
        <v>241.73</v>
      </c>
      <c r="I9" s="0" t="s">
        <v>83</v>
      </c>
      <c r="J9" s="0" t="s">
        <v>73</v>
      </c>
      <c r="K9" s="0" t="s">
        <v>74</v>
      </c>
    </row>
    <row r="10" customFormat="false" ht="15" hidden="false" customHeight="false" outlineLevel="0" collapsed="false">
      <c r="A10" s="0" t="s">
        <v>84</v>
      </c>
      <c r="B10" s="0" t="s">
        <v>85</v>
      </c>
      <c r="C10" s="0" t="n">
        <v>27.54</v>
      </c>
      <c r="D10" s="0" t="n">
        <v>25</v>
      </c>
      <c r="E10" s="0" t="n">
        <v>2</v>
      </c>
      <c r="F10" s="0" t="s">
        <v>71</v>
      </c>
      <c r="G10" s="0" t="n">
        <v>16</v>
      </c>
      <c r="H10" s="0" t="n">
        <v>580.04</v>
      </c>
      <c r="I10" s="0" t="s">
        <v>86</v>
      </c>
      <c r="J10" s="0" t="s">
        <v>73</v>
      </c>
      <c r="K10" s="0" t="s">
        <v>74</v>
      </c>
    </row>
    <row r="11" customFormat="false" ht="15" hidden="false" customHeight="false" outlineLevel="0" collapsed="false">
      <c r="A11" s="0" t="s">
        <v>87</v>
      </c>
      <c r="B11" s="0" t="s">
        <v>88</v>
      </c>
      <c r="C11" s="0" t="n">
        <v>7.51</v>
      </c>
      <c r="D11" s="0" t="n">
        <v>25</v>
      </c>
      <c r="E11" s="0" t="n">
        <v>2</v>
      </c>
      <c r="F11" s="0" t="s">
        <v>71</v>
      </c>
      <c r="G11" s="0" t="n">
        <v>16</v>
      </c>
      <c r="H11" s="0" t="n">
        <v>255.34</v>
      </c>
      <c r="I11" s="0" t="s">
        <v>89</v>
      </c>
      <c r="J11" s="0" t="s">
        <v>73</v>
      </c>
      <c r="K11" s="0" t="s">
        <v>74</v>
      </c>
    </row>
    <row r="12" customFormat="false" ht="15" hidden="false" customHeight="false" outlineLevel="0" collapsed="false">
      <c r="A12" s="0" t="s">
        <v>90</v>
      </c>
      <c r="B12" s="0" t="s">
        <v>91</v>
      </c>
      <c r="C12" s="0" t="n">
        <v>12.92</v>
      </c>
      <c r="D12" s="0" t="n">
        <v>25</v>
      </c>
      <c r="E12" s="0" t="n">
        <v>2</v>
      </c>
      <c r="F12" s="0" t="s">
        <v>71</v>
      </c>
      <c r="G12" s="0" t="n">
        <v>16</v>
      </c>
      <c r="H12" s="0" t="n">
        <v>361.89</v>
      </c>
      <c r="I12" s="0" t="s">
        <v>92</v>
      </c>
      <c r="J12" s="0" t="s">
        <v>73</v>
      </c>
      <c r="K12" s="0" t="s">
        <v>74</v>
      </c>
    </row>
    <row r="13" customFormat="false" ht="15" hidden="false" customHeight="false" outlineLevel="0" collapsed="false">
      <c r="A13" s="0" t="s">
        <v>93</v>
      </c>
      <c r="B13" s="0" t="s">
        <v>94</v>
      </c>
      <c r="C13" s="0" t="n">
        <v>12.92</v>
      </c>
      <c r="D13" s="0" t="n">
        <v>25</v>
      </c>
      <c r="E13" s="0" t="n">
        <v>2</v>
      </c>
      <c r="F13" s="0" t="s">
        <v>71</v>
      </c>
      <c r="G13" s="0" t="n">
        <v>16</v>
      </c>
      <c r="H13" s="0" t="n">
        <v>245.48</v>
      </c>
      <c r="I13" s="0" t="s">
        <v>95</v>
      </c>
      <c r="J13" s="0" t="s">
        <v>73</v>
      </c>
      <c r="K13" s="0" t="s">
        <v>74</v>
      </c>
    </row>
    <row r="14" customFormat="false" ht="15" hidden="false" customHeight="false" outlineLevel="0" collapsed="false">
      <c r="B14" s="6" t="s">
        <v>96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97</v>
      </c>
    </row>
    <row r="16" customFormat="false" ht="15" hidden="false" customHeight="false" outlineLevel="0" collapsed="false">
      <c r="A16" s="0" t="s">
        <v>98</v>
      </c>
      <c r="B16" s="0" t="s">
        <v>99</v>
      </c>
      <c r="C16" s="0" t="n">
        <v>5.7</v>
      </c>
      <c r="D16" s="0" t="n">
        <v>25</v>
      </c>
      <c r="E16" s="0" t="n">
        <v>2</v>
      </c>
      <c r="F16" s="0" t="s">
        <v>100</v>
      </c>
      <c r="G16" s="0" t="n">
        <v>16</v>
      </c>
      <c r="H16" s="0" t="n">
        <v>102.6</v>
      </c>
      <c r="I16" s="0" t="s">
        <v>101</v>
      </c>
      <c r="J16" s="0" t="s">
        <v>102</v>
      </c>
      <c r="K16" s="0" t="s">
        <v>74</v>
      </c>
    </row>
    <row r="17" customFormat="false" ht="15" hidden="false" customHeight="false" outlineLevel="0" collapsed="false">
      <c r="B17" s="6" t="s">
        <v>103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104</v>
      </c>
    </row>
    <row r="19" customFormat="false" ht="15" hidden="false" customHeight="false" outlineLevel="0" collapsed="false">
      <c r="A19" s="0" t="s">
        <v>105</v>
      </c>
      <c r="B19" s="0" t="s">
        <v>106</v>
      </c>
      <c r="C19" s="0" t="n">
        <v>3.67</v>
      </c>
      <c r="D19" s="0" t="n">
        <v>8</v>
      </c>
      <c r="E19" s="0" t="n">
        <v>2</v>
      </c>
      <c r="F19" s="0" t="s">
        <v>107</v>
      </c>
      <c r="G19" s="0" t="n">
        <v>16</v>
      </c>
      <c r="H19" s="0" t="n">
        <v>58.72</v>
      </c>
      <c r="I19" s="0" t="s">
        <v>108</v>
      </c>
      <c r="J19" s="0" t="s">
        <v>109</v>
      </c>
      <c r="K19" s="0" t="s">
        <v>74</v>
      </c>
    </row>
    <row r="20" customFormat="false" ht="15" hidden="false" customHeight="false" outlineLevel="0" collapsed="false">
      <c r="A20" s="0" t="s">
        <v>110</v>
      </c>
      <c r="B20" s="0" t="s">
        <v>111</v>
      </c>
      <c r="C20" s="0" t="n">
        <v>12</v>
      </c>
      <c r="D20" s="0" t="n">
        <v>8</v>
      </c>
      <c r="E20" s="0" t="n">
        <v>2</v>
      </c>
      <c r="F20" s="0" t="s">
        <v>107</v>
      </c>
      <c r="G20" s="0" t="n">
        <v>16</v>
      </c>
      <c r="H20" s="0" t="n">
        <v>192</v>
      </c>
      <c r="I20" s="0" t="s">
        <v>112</v>
      </c>
      <c r="J20" s="0" t="s">
        <v>109</v>
      </c>
      <c r="K20" s="0" t="s">
        <v>74</v>
      </c>
    </row>
    <row r="21" customFormat="false" ht="15" hidden="false" customHeight="false" outlineLevel="0" collapsed="false">
      <c r="A21" s="0" t="s">
        <v>113</v>
      </c>
      <c r="B21" s="0" t="s">
        <v>114</v>
      </c>
      <c r="C21" s="0" t="n">
        <v>12</v>
      </c>
      <c r="D21" s="0" t="n">
        <v>8</v>
      </c>
      <c r="E21" s="0" t="n">
        <v>2</v>
      </c>
      <c r="F21" s="0" t="s">
        <v>107</v>
      </c>
      <c r="G21" s="0" t="n">
        <v>16</v>
      </c>
      <c r="H21" s="0" t="n">
        <v>192</v>
      </c>
      <c r="I21" s="0" t="s">
        <v>115</v>
      </c>
      <c r="J21" s="0" t="s">
        <v>109</v>
      </c>
      <c r="K21" s="0" t="s">
        <v>74</v>
      </c>
    </row>
    <row r="22" customFormat="false" ht="15" hidden="false" customHeight="false" outlineLevel="0" collapsed="false">
      <c r="A22" s="0" t="s">
        <v>116</v>
      </c>
      <c r="B22" s="0" t="s">
        <v>117</v>
      </c>
      <c r="C22" s="0" t="n">
        <v>3.67</v>
      </c>
      <c r="D22" s="0" t="n">
        <v>8</v>
      </c>
      <c r="E22" s="0" t="n">
        <v>2</v>
      </c>
      <c r="F22" s="0" t="s">
        <v>107</v>
      </c>
      <c r="G22" s="0" t="n">
        <v>16</v>
      </c>
      <c r="H22" s="0" t="n">
        <v>58.72</v>
      </c>
      <c r="I22" s="0" t="s">
        <v>118</v>
      </c>
      <c r="J22" s="0" t="s">
        <v>109</v>
      </c>
      <c r="K22" s="0" t="s">
        <v>74</v>
      </c>
    </row>
    <row r="23" customFormat="false" ht="15" hidden="false" customHeight="false" outlineLevel="0" collapsed="false">
      <c r="A23" s="0" t="s">
        <v>119</v>
      </c>
      <c r="B23" s="0" t="s">
        <v>120</v>
      </c>
      <c r="C23" s="0" t="n">
        <v>3.67</v>
      </c>
      <c r="D23" s="0" t="n">
        <v>8</v>
      </c>
      <c r="E23" s="0" t="n">
        <v>2</v>
      </c>
      <c r="F23" s="0" t="s">
        <v>107</v>
      </c>
      <c r="G23" s="0" t="n">
        <v>16</v>
      </c>
      <c r="H23" s="0" t="n">
        <v>58.72</v>
      </c>
      <c r="I23" s="0" t="s">
        <v>121</v>
      </c>
      <c r="J23" s="0" t="s">
        <v>109</v>
      </c>
      <c r="K23" s="0" t="s">
        <v>74</v>
      </c>
    </row>
    <row r="24" customFormat="false" ht="15" hidden="false" customHeight="false" outlineLevel="0" collapsed="false">
      <c r="A24" s="0" t="s">
        <v>122</v>
      </c>
      <c r="B24" s="0" t="s">
        <v>123</v>
      </c>
      <c r="C24" s="0" t="n">
        <v>3.67</v>
      </c>
      <c r="D24" s="0" t="n">
        <v>8</v>
      </c>
      <c r="E24" s="0" t="n">
        <v>2</v>
      </c>
      <c r="F24" s="0" t="s">
        <v>107</v>
      </c>
      <c r="G24" s="0" t="n">
        <v>16</v>
      </c>
      <c r="H24" s="0" t="n">
        <v>58.72</v>
      </c>
      <c r="I24" s="0" t="s">
        <v>124</v>
      </c>
      <c r="J24" s="0" t="s">
        <v>109</v>
      </c>
      <c r="K24" s="0" t="s">
        <v>74</v>
      </c>
    </row>
    <row r="25" customFormat="false" ht="15" hidden="false" customHeight="false" outlineLevel="0" collapsed="false">
      <c r="B25" s="6" t="s">
        <v>125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126</v>
      </c>
    </row>
    <row r="27" customFormat="false" ht="15" hidden="false" customHeight="false" outlineLevel="0" collapsed="false">
      <c r="A27" s="0" t="s">
        <v>127</v>
      </c>
      <c r="B27" s="0" t="s">
        <v>128</v>
      </c>
      <c r="C27" s="0" t="n">
        <v>12.68</v>
      </c>
      <c r="D27" s="0" t="n">
        <v>7.5</v>
      </c>
      <c r="E27" s="0" t="n">
        <v>2</v>
      </c>
      <c r="F27" s="0" t="s">
        <v>107</v>
      </c>
      <c r="G27" s="0" t="n">
        <v>16</v>
      </c>
      <c r="H27" s="0" t="n">
        <v>190.2</v>
      </c>
      <c r="I27" s="0" t="s">
        <v>129</v>
      </c>
      <c r="J27" s="0" t="s">
        <v>130</v>
      </c>
      <c r="K27" s="0" t="s">
        <v>74</v>
      </c>
    </row>
    <row r="28" customFormat="false" ht="15" hidden="false" customHeight="false" outlineLevel="0" collapsed="false">
      <c r="A28" s="0" t="s">
        <v>131</v>
      </c>
      <c r="B28" s="0" t="s">
        <v>132</v>
      </c>
      <c r="C28" s="0" t="n">
        <v>1.77</v>
      </c>
      <c r="D28" s="0" t="n">
        <v>7.5</v>
      </c>
      <c r="E28" s="0" t="n">
        <v>2</v>
      </c>
      <c r="F28" s="0" t="s">
        <v>107</v>
      </c>
      <c r="G28" s="0" t="n">
        <v>16</v>
      </c>
      <c r="H28" s="0" t="n">
        <v>26.56</v>
      </c>
      <c r="I28" s="0" t="s">
        <v>133</v>
      </c>
      <c r="J28" s="0" t="s">
        <v>130</v>
      </c>
      <c r="K28" s="0" t="s">
        <v>74</v>
      </c>
    </row>
    <row r="29" customFormat="false" ht="15" hidden="false" customHeight="false" outlineLevel="0" collapsed="false">
      <c r="A29" s="0" t="s">
        <v>134</v>
      </c>
      <c r="B29" s="0" t="s">
        <v>135</v>
      </c>
      <c r="C29" s="0" t="n">
        <v>1.72</v>
      </c>
      <c r="D29" s="0" t="n">
        <v>7.5</v>
      </c>
      <c r="E29" s="0" t="n">
        <v>2</v>
      </c>
      <c r="F29" s="0" t="s">
        <v>107</v>
      </c>
      <c r="G29" s="0" t="n">
        <v>16</v>
      </c>
      <c r="H29" s="0" t="n">
        <v>25.8</v>
      </c>
      <c r="I29" s="0" t="s">
        <v>136</v>
      </c>
      <c r="J29" s="0" t="s">
        <v>130</v>
      </c>
      <c r="K29" s="0" t="s">
        <v>74</v>
      </c>
    </row>
    <row r="30" customFormat="false" ht="15" hidden="false" customHeight="false" outlineLevel="0" collapsed="false">
      <c r="A30" s="0" t="s">
        <v>137</v>
      </c>
      <c r="B30" s="0" t="s">
        <v>138</v>
      </c>
      <c r="C30" s="0" t="n">
        <v>4.27</v>
      </c>
      <c r="D30" s="0" t="n">
        <v>7.5</v>
      </c>
      <c r="E30" s="0" t="n">
        <v>2</v>
      </c>
      <c r="F30" s="0" t="s">
        <v>107</v>
      </c>
      <c r="G30" s="0" t="n">
        <v>16</v>
      </c>
      <c r="H30" s="0" t="n">
        <v>64.04</v>
      </c>
      <c r="I30" s="0" t="s">
        <v>139</v>
      </c>
      <c r="J30" s="0" t="s">
        <v>130</v>
      </c>
      <c r="K30" s="0" t="s">
        <v>74</v>
      </c>
    </row>
    <row r="31" customFormat="false" ht="15" hidden="false" customHeight="false" outlineLevel="0" collapsed="false">
      <c r="A31" s="0" t="s">
        <v>140</v>
      </c>
      <c r="B31" s="0" t="s">
        <v>141</v>
      </c>
      <c r="C31" s="0" t="n">
        <v>4.27</v>
      </c>
      <c r="D31" s="0" t="n">
        <v>7.5</v>
      </c>
      <c r="E31" s="0" t="n">
        <v>2</v>
      </c>
      <c r="F31" s="0" t="s">
        <v>107</v>
      </c>
      <c r="G31" s="0" t="n">
        <v>16</v>
      </c>
      <c r="H31" s="0" t="n">
        <v>64.04</v>
      </c>
      <c r="I31" s="0" t="s">
        <v>142</v>
      </c>
      <c r="J31" s="0" t="s">
        <v>130</v>
      </c>
      <c r="K31" s="0" t="s">
        <v>74</v>
      </c>
    </row>
    <row r="32" customFormat="false" ht="15" hidden="false" customHeight="false" outlineLevel="0" collapsed="false">
      <c r="A32" s="0" t="s">
        <v>143</v>
      </c>
      <c r="B32" s="0" t="s">
        <v>144</v>
      </c>
      <c r="C32" s="0" t="n">
        <v>4.29</v>
      </c>
      <c r="D32" s="0" t="n">
        <v>7.5</v>
      </c>
      <c r="E32" s="0" t="n">
        <v>2</v>
      </c>
      <c r="F32" s="0" t="s">
        <v>107</v>
      </c>
      <c r="G32" s="0" t="n">
        <v>16</v>
      </c>
      <c r="H32" s="0" t="n">
        <v>64.34</v>
      </c>
      <c r="I32" s="0" t="s">
        <v>145</v>
      </c>
      <c r="J32" s="0" t="s">
        <v>130</v>
      </c>
      <c r="K32" s="0" t="s">
        <v>74</v>
      </c>
    </row>
    <row r="33" customFormat="false" ht="15" hidden="false" customHeight="false" outlineLevel="0" collapsed="false">
      <c r="A33" s="0" t="s">
        <v>146</v>
      </c>
      <c r="B33" s="0" t="s">
        <v>147</v>
      </c>
      <c r="C33" s="0" t="n">
        <v>4.29</v>
      </c>
      <c r="D33" s="0" t="n">
        <v>7.5</v>
      </c>
      <c r="E33" s="0" t="n">
        <v>2</v>
      </c>
      <c r="F33" s="0" t="s">
        <v>107</v>
      </c>
      <c r="G33" s="0" t="n">
        <v>16</v>
      </c>
      <c r="H33" s="0" t="n">
        <v>64.34</v>
      </c>
      <c r="I33" s="0" t="s">
        <v>148</v>
      </c>
      <c r="J33" s="0" t="s">
        <v>130</v>
      </c>
      <c r="K33" s="0" t="s">
        <v>74</v>
      </c>
    </row>
    <row r="34" customFormat="false" ht="15" hidden="false" customHeight="false" outlineLevel="0" collapsed="false">
      <c r="A34" s="0" t="s">
        <v>149</v>
      </c>
      <c r="B34" s="0" t="s">
        <v>150</v>
      </c>
      <c r="C34" s="0" t="n">
        <v>4.27</v>
      </c>
      <c r="D34" s="0" t="n">
        <v>7.5</v>
      </c>
      <c r="E34" s="0" t="n">
        <v>2</v>
      </c>
      <c r="F34" s="0" t="s">
        <v>107</v>
      </c>
      <c r="G34" s="0" t="n">
        <v>16</v>
      </c>
      <c r="H34" s="0" t="n">
        <v>64.04</v>
      </c>
      <c r="I34" s="0" t="s">
        <v>151</v>
      </c>
      <c r="J34" s="0" t="s">
        <v>130</v>
      </c>
      <c r="K34" s="0" t="s">
        <v>74</v>
      </c>
    </row>
    <row r="35" customFormat="false" ht="15" hidden="false" customHeight="false" outlineLevel="0" collapsed="false">
      <c r="A35" s="0" t="s">
        <v>152</v>
      </c>
      <c r="B35" s="0" t="s">
        <v>153</v>
      </c>
      <c r="C35" s="0" t="n">
        <v>4.29</v>
      </c>
      <c r="D35" s="0" t="n">
        <v>7.5</v>
      </c>
      <c r="E35" s="0" t="n">
        <v>2</v>
      </c>
      <c r="F35" s="0" t="s">
        <v>107</v>
      </c>
      <c r="G35" s="0" t="n">
        <v>16</v>
      </c>
      <c r="H35" s="0" t="n">
        <v>64.34</v>
      </c>
      <c r="I35" s="0" t="s">
        <v>154</v>
      </c>
      <c r="J35" s="0" t="s">
        <v>130</v>
      </c>
      <c r="K35" s="0" t="s">
        <v>74</v>
      </c>
    </row>
    <row r="36" customFormat="false" ht="15" hidden="false" customHeight="false" outlineLevel="0" collapsed="false">
      <c r="A36" s="0" t="s">
        <v>155</v>
      </c>
      <c r="B36" s="0" t="s">
        <v>156</v>
      </c>
      <c r="C36" s="0" t="n">
        <v>4.28</v>
      </c>
      <c r="D36" s="0" t="n">
        <v>7.5</v>
      </c>
      <c r="E36" s="0" t="n">
        <v>2</v>
      </c>
      <c r="F36" s="0" t="s">
        <v>107</v>
      </c>
      <c r="G36" s="0" t="n">
        <v>16</v>
      </c>
      <c r="H36" s="0" t="n">
        <v>64.2</v>
      </c>
      <c r="I36" s="0" t="s">
        <v>157</v>
      </c>
      <c r="J36" s="0" t="s">
        <v>130</v>
      </c>
      <c r="K36" s="0" t="s">
        <v>74</v>
      </c>
    </row>
    <row r="37" customFormat="false" ht="15" hidden="false" customHeight="false" outlineLevel="0" collapsed="false">
      <c r="A37" s="0" t="s">
        <v>158</v>
      </c>
      <c r="B37" s="0" t="s">
        <v>159</v>
      </c>
      <c r="C37" s="0" t="n">
        <v>4.28</v>
      </c>
      <c r="D37" s="0" t="n">
        <v>7.5</v>
      </c>
      <c r="E37" s="0" t="n">
        <v>2</v>
      </c>
      <c r="F37" s="0" t="s">
        <v>107</v>
      </c>
      <c r="G37" s="0" t="n">
        <v>16</v>
      </c>
      <c r="H37" s="0" t="n">
        <v>64.2</v>
      </c>
      <c r="I37" s="0" t="s">
        <v>160</v>
      </c>
      <c r="J37" s="0" t="s">
        <v>130</v>
      </c>
      <c r="K37" s="0" t="s">
        <v>74</v>
      </c>
    </row>
    <row r="38" customFormat="false" ht="15" hidden="false" customHeight="false" outlineLevel="0" collapsed="false">
      <c r="A38" s="0" t="s">
        <v>161</v>
      </c>
      <c r="B38" s="0" t="s">
        <v>162</v>
      </c>
      <c r="C38" s="0" t="n">
        <v>4.28</v>
      </c>
      <c r="D38" s="0" t="n">
        <v>7.5</v>
      </c>
      <c r="E38" s="0" t="n">
        <v>2</v>
      </c>
      <c r="F38" s="0" t="s">
        <v>107</v>
      </c>
      <c r="G38" s="0" t="n">
        <v>16</v>
      </c>
      <c r="H38" s="0" t="n">
        <v>64.2</v>
      </c>
      <c r="I38" s="0" t="s">
        <v>163</v>
      </c>
      <c r="J38" s="0" t="s">
        <v>130</v>
      </c>
      <c r="K38" s="0" t="s">
        <v>74</v>
      </c>
    </row>
    <row r="39" customFormat="false" ht="15" hidden="false" customHeight="false" outlineLevel="0" collapsed="false">
      <c r="A39" s="0" t="s">
        <v>164</v>
      </c>
      <c r="B39" s="0" t="s">
        <v>165</v>
      </c>
      <c r="C39" s="0" t="n">
        <v>4.28</v>
      </c>
      <c r="D39" s="0" t="n">
        <v>7.5</v>
      </c>
      <c r="E39" s="0" t="n">
        <v>2</v>
      </c>
      <c r="F39" s="0" t="s">
        <v>107</v>
      </c>
      <c r="G39" s="0" t="n">
        <v>16</v>
      </c>
      <c r="H39" s="0" t="n">
        <v>64.2</v>
      </c>
      <c r="I39" s="0" t="s">
        <v>166</v>
      </c>
      <c r="J39" s="0" t="s">
        <v>130</v>
      </c>
      <c r="K39" s="0" t="s">
        <v>74</v>
      </c>
    </row>
    <row r="40" customFormat="false" ht="15" hidden="false" customHeight="false" outlineLevel="0" collapsed="false">
      <c r="A40" s="0" t="s">
        <v>167</v>
      </c>
      <c r="B40" s="0" t="s">
        <v>168</v>
      </c>
      <c r="C40" s="0" t="n">
        <v>4.28</v>
      </c>
      <c r="D40" s="0" t="n">
        <v>7.5</v>
      </c>
      <c r="E40" s="0" t="n">
        <v>2</v>
      </c>
      <c r="F40" s="0" t="s">
        <v>107</v>
      </c>
      <c r="G40" s="0" t="n">
        <v>16</v>
      </c>
      <c r="H40" s="0" t="n">
        <v>64.2</v>
      </c>
      <c r="I40" s="0" t="s">
        <v>169</v>
      </c>
      <c r="J40" s="0" t="s">
        <v>130</v>
      </c>
      <c r="K40" s="0" t="s">
        <v>74</v>
      </c>
    </row>
    <row r="41" customFormat="false" ht="15" hidden="false" customHeight="false" outlineLevel="0" collapsed="false">
      <c r="A41" s="0" t="s">
        <v>170</v>
      </c>
      <c r="B41" s="0" t="s">
        <v>171</v>
      </c>
      <c r="C41" s="0" t="n">
        <v>4.28</v>
      </c>
      <c r="D41" s="0" t="n">
        <v>7.5</v>
      </c>
      <c r="E41" s="0" t="n">
        <v>2</v>
      </c>
      <c r="F41" s="0" t="s">
        <v>107</v>
      </c>
      <c r="G41" s="0" t="n">
        <v>16</v>
      </c>
      <c r="H41" s="0" t="n">
        <v>64.2</v>
      </c>
      <c r="I41" s="0" t="s">
        <v>172</v>
      </c>
      <c r="J41" s="0" t="s">
        <v>130</v>
      </c>
      <c r="K41" s="0" t="s">
        <v>74</v>
      </c>
    </row>
    <row r="42" customFormat="false" ht="15" hidden="false" customHeight="false" outlineLevel="0" collapsed="false">
      <c r="A42" s="0" t="s">
        <v>173</v>
      </c>
      <c r="B42" s="0" t="s">
        <v>174</v>
      </c>
      <c r="C42" s="0" t="n">
        <v>12.68</v>
      </c>
      <c r="D42" s="0" t="n">
        <v>7.5</v>
      </c>
      <c r="E42" s="0" t="n">
        <v>2</v>
      </c>
      <c r="F42" s="0" t="s">
        <v>107</v>
      </c>
      <c r="G42" s="0" t="n">
        <v>16</v>
      </c>
      <c r="H42" s="0" t="n">
        <v>190.2</v>
      </c>
      <c r="I42" s="0" t="s">
        <v>175</v>
      </c>
      <c r="J42" s="0" t="s">
        <v>130</v>
      </c>
      <c r="K42" s="0" t="s">
        <v>74</v>
      </c>
    </row>
    <row r="43" customFormat="false" ht="15" hidden="false" customHeight="false" outlineLevel="0" collapsed="false">
      <c r="A43" s="0" t="s">
        <v>176</v>
      </c>
      <c r="B43" s="0" t="s">
        <v>177</v>
      </c>
      <c r="C43" s="0" t="n">
        <v>1.75</v>
      </c>
      <c r="D43" s="0" t="n">
        <v>7.5</v>
      </c>
      <c r="E43" s="0" t="n">
        <v>2</v>
      </c>
      <c r="F43" s="0" t="s">
        <v>107</v>
      </c>
      <c r="G43" s="0" t="n">
        <v>16</v>
      </c>
      <c r="H43" s="0" t="n">
        <v>26.24</v>
      </c>
      <c r="I43" s="0" t="s">
        <v>178</v>
      </c>
      <c r="J43" s="0" t="s">
        <v>130</v>
      </c>
      <c r="K43" s="0" t="s">
        <v>74</v>
      </c>
    </row>
    <row r="44" customFormat="false" ht="15" hidden="false" customHeight="false" outlineLevel="0" collapsed="false">
      <c r="A44" s="0" t="s">
        <v>179</v>
      </c>
      <c r="B44" s="0" t="s">
        <v>180</v>
      </c>
      <c r="C44" s="0" t="n">
        <v>1.68</v>
      </c>
      <c r="D44" s="0" t="n">
        <v>7.5</v>
      </c>
      <c r="E44" s="0" t="n">
        <v>2</v>
      </c>
      <c r="F44" s="0" t="s">
        <v>107</v>
      </c>
      <c r="G44" s="0" t="n">
        <v>16</v>
      </c>
      <c r="H44" s="0" t="n">
        <v>25.2</v>
      </c>
      <c r="I44" s="0" t="s">
        <v>181</v>
      </c>
      <c r="J44" s="0" t="s">
        <v>130</v>
      </c>
      <c r="K44" s="0" t="s">
        <v>74</v>
      </c>
    </row>
    <row r="45" customFormat="false" ht="15" hidden="false" customHeight="false" outlineLevel="0" collapsed="false">
      <c r="B45" s="6" t="s">
        <v>182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183</v>
      </c>
    </row>
    <row r="47" customFormat="false" ht="15" hidden="false" customHeight="false" outlineLevel="0" collapsed="false">
      <c r="A47" s="0" t="s">
        <v>184</v>
      </c>
      <c r="B47" s="0" t="s">
        <v>185</v>
      </c>
      <c r="C47" s="0" t="n">
        <v>29.98</v>
      </c>
      <c r="D47" s="0" t="n">
        <v>25</v>
      </c>
      <c r="E47" s="0" t="n">
        <v>1</v>
      </c>
      <c r="F47" s="0" t="s">
        <v>100</v>
      </c>
      <c r="G47" s="0" t="n">
        <v>16</v>
      </c>
      <c r="H47" s="0" t="n">
        <v>678.44</v>
      </c>
      <c r="I47" s="0" t="s">
        <v>186</v>
      </c>
      <c r="J47" s="0" t="s">
        <v>187</v>
      </c>
      <c r="K47" s="0" t="s">
        <v>74</v>
      </c>
    </row>
    <row r="48" customFormat="false" ht="15" hidden="false" customHeight="false" outlineLevel="0" collapsed="false">
      <c r="A48" s="0" t="s">
        <v>188</v>
      </c>
      <c r="B48" s="0" t="s">
        <v>189</v>
      </c>
      <c r="C48" s="0" t="n">
        <v>12.17</v>
      </c>
      <c r="D48" s="0" t="n">
        <v>25</v>
      </c>
      <c r="E48" s="0" t="n">
        <v>1</v>
      </c>
      <c r="F48" s="0" t="s">
        <v>100</v>
      </c>
      <c r="G48" s="0" t="n">
        <v>16</v>
      </c>
      <c r="H48" s="0" t="n">
        <v>115.61</v>
      </c>
      <c r="I48" s="0" t="s">
        <v>190</v>
      </c>
      <c r="J48" s="0" t="s">
        <v>187</v>
      </c>
      <c r="K48" s="0" t="s">
        <v>74</v>
      </c>
    </row>
    <row r="49" customFormat="false" ht="15" hidden="false" customHeight="false" outlineLevel="0" collapsed="false">
      <c r="B49" s="6" t="s">
        <v>191</v>
      </c>
      <c r="C49" s="4" t="n">
        <f aca="false">SUM(C47:C48)</f>
        <v>42.15</v>
      </c>
      <c r="H49" s="4" t="n">
        <f aca="false">SUM(H47:H48)</f>
        <v>794.05</v>
      </c>
    </row>
    <row r="50" customFormat="false" ht="15" hidden="false" customHeight="false" outlineLevel="0" collapsed="false">
      <c r="A50" s="5" t="s">
        <v>192</v>
      </c>
    </row>
    <row r="51" customFormat="false" ht="15" hidden="false" customHeight="false" outlineLevel="0" collapsed="false">
      <c r="A51" s="0" t="s">
        <v>193</v>
      </c>
      <c r="B51" s="0" t="s">
        <v>194</v>
      </c>
      <c r="C51" s="0" t="n">
        <v>12.17</v>
      </c>
      <c r="D51" s="0" t="n">
        <v>25</v>
      </c>
      <c r="E51" s="0" t="n">
        <v>1</v>
      </c>
      <c r="F51" s="0" t="s">
        <v>71</v>
      </c>
      <c r="G51" s="0" t="n">
        <v>16</v>
      </c>
      <c r="H51" s="0" t="n">
        <v>304.25</v>
      </c>
      <c r="I51" s="0" t="s">
        <v>195</v>
      </c>
      <c r="J51" s="0" t="s">
        <v>187</v>
      </c>
      <c r="K51" s="0" t="s">
        <v>74</v>
      </c>
    </row>
    <row r="52" customFormat="false" ht="15" hidden="false" customHeight="false" outlineLevel="0" collapsed="false">
      <c r="B52" s="6" t="s">
        <v>196</v>
      </c>
      <c r="C52" s="4" t="n">
        <f aca="false">SUM(C51:C51)</f>
        <v>12.17</v>
      </c>
      <c r="H52" s="4" t="n">
        <f aca="false">SUM(H51:H51)</f>
        <v>304.25</v>
      </c>
    </row>
    <row r="53" customFormat="false" ht="15" hidden="false" customHeight="false" outlineLevel="0" collapsed="false">
      <c r="A53" s="5" t="s">
        <v>197</v>
      </c>
    </row>
    <row r="54" customFormat="false" ht="15" hidden="false" customHeight="false" outlineLevel="0" collapsed="false">
      <c r="A54" s="0" t="s">
        <v>198</v>
      </c>
      <c r="B54" s="0" t="s">
        <v>199</v>
      </c>
      <c r="C54" s="0" t="n">
        <v>1.95</v>
      </c>
      <c r="D54" s="0" t="n">
        <v>25</v>
      </c>
      <c r="E54" s="0" t="n">
        <v>0</v>
      </c>
      <c r="F54" s="0" t="s">
        <v>71</v>
      </c>
      <c r="G54" s="0" t="n">
        <v>16</v>
      </c>
      <c r="H54" s="0" t="n">
        <v>0</v>
      </c>
      <c r="I54" s="0" t="s">
        <v>200</v>
      </c>
      <c r="J54" s="0" t="s">
        <v>187</v>
      </c>
      <c r="K54" s="0" t="s">
        <v>74</v>
      </c>
    </row>
    <row r="55" customFormat="false" ht="15" hidden="false" customHeight="false" outlineLevel="0" collapsed="false">
      <c r="B55" s="6" t="s">
        <v>201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202</v>
      </c>
    </row>
    <row r="57" customFormat="false" ht="15" hidden="false" customHeight="false" outlineLevel="0" collapsed="false">
      <c r="A57" s="0" t="s">
        <v>203</v>
      </c>
      <c r="B57" s="0" t="s">
        <v>204</v>
      </c>
      <c r="C57" s="0" t="n">
        <v>4.08</v>
      </c>
      <c r="D57" s="0" t="n">
        <v>25</v>
      </c>
      <c r="E57" s="0" t="n">
        <v>1</v>
      </c>
      <c r="F57" s="0" t="s">
        <v>100</v>
      </c>
      <c r="G57" s="0" t="n">
        <v>16</v>
      </c>
      <c r="H57" s="0" t="n">
        <v>30.94</v>
      </c>
      <c r="I57" s="0" t="s">
        <v>205</v>
      </c>
      <c r="J57" s="0" t="s">
        <v>206</v>
      </c>
      <c r="K57" s="0" t="s">
        <v>74</v>
      </c>
    </row>
    <row r="58" customFormat="false" ht="15" hidden="false" customHeight="false" outlineLevel="0" collapsed="false">
      <c r="B58" s="6" t="s">
        <v>207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208</v>
      </c>
    </row>
    <row r="60" customFormat="false" ht="15" hidden="false" customHeight="false" outlineLevel="0" collapsed="false">
      <c r="A60" s="0" t="s">
        <v>209</v>
      </c>
      <c r="B60" s="0" t="s">
        <v>210</v>
      </c>
      <c r="C60" s="0" t="n">
        <v>6.17</v>
      </c>
      <c r="D60" s="0" t="n">
        <v>25</v>
      </c>
      <c r="E60" s="0" t="n">
        <v>2</v>
      </c>
      <c r="F60" s="0" t="s">
        <v>100</v>
      </c>
      <c r="G60" s="0" t="n">
        <v>16</v>
      </c>
      <c r="H60" s="0" t="n">
        <v>151.68</v>
      </c>
      <c r="I60" s="0" t="s">
        <v>211</v>
      </c>
      <c r="J60" s="0" t="s">
        <v>206</v>
      </c>
      <c r="K60" s="0" t="s">
        <v>74</v>
      </c>
    </row>
    <row r="61" customFormat="false" ht="15" hidden="false" customHeight="false" outlineLevel="0" collapsed="false">
      <c r="B61" s="6" t="s">
        <v>212</v>
      </c>
      <c r="C61" s="4" t="n">
        <f aca="false">SUM(C60:C60)</f>
        <v>6.17</v>
      </c>
      <c r="H61" s="4" t="n">
        <f aca="false">SUM(H60:H60)</f>
        <v>151.68</v>
      </c>
    </row>
    <row r="62" customFormat="false" ht="15" hidden="false" customHeight="false" outlineLevel="0" collapsed="false">
      <c r="A62" s="5" t="s">
        <v>213</v>
      </c>
    </row>
    <row r="63" customFormat="false" ht="15" hidden="false" customHeight="false" outlineLevel="0" collapsed="false">
      <c r="A63" s="0" t="s">
        <v>214</v>
      </c>
      <c r="B63" s="0" t="s">
        <v>215</v>
      </c>
      <c r="C63" s="0" t="n">
        <v>29.3</v>
      </c>
      <c r="D63" s="0" t="n">
        <v>25</v>
      </c>
      <c r="E63" s="0" t="n">
        <v>0</v>
      </c>
      <c r="F63" s="0" t="s">
        <v>100</v>
      </c>
      <c r="G63" s="0" t="n">
        <v>16</v>
      </c>
      <c r="H63" s="0" t="n">
        <v>0</v>
      </c>
      <c r="I63" s="0" t="s">
        <v>216</v>
      </c>
      <c r="J63" s="0" t="s">
        <v>217</v>
      </c>
      <c r="K63" s="0" t="s">
        <v>74</v>
      </c>
    </row>
    <row r="64" customFormat="false" ht="15" hidden="false" customHeight="false" outlineLevel="0" collapsed="false">
      <c r="B64" s="6" t="s">
        <v>218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219</v>
      </c>
    </row>
    <row r="66" customFormat="false" ht="15" hidden="false" customHeight="false" outlineLevel="0" collapsed="false">
      <c r="A66" s="0" t="s">
        <v>220</v>
      </c>
      <c r="B66" s="0" t="s">
        <v>221</v>
      </c>
      <c r="C66" s="0" t="n">
        <v>2.31</v>
      </c>
      <c r="D66" s="0" t="n">
        <v>25</v>
      </c>
      <c r="E66" s="0" t="n">
        <v>1</v>
      </c>
      <c r="F66" s="0" t="s">
        <v>100</v>
      </c>
      <c r="G66" s="0" t="n">
        <v>16</v>
      </c>
      <c r="H66" s="0" t="n">
        <v>57.75</v>
      </c>
      <c r="I66" s="0" t="s">
        <v>222</v>
      </c>
      <c r="J66" s="0" t="s">
        <v>217</v>
      </c>
      <c r="K66" s="0" t="s">
        <v>74</v>
      </c>
    </row>
    <row r="67" customFormat="false" ht="15" hidden="false" customHeight="false" outlineLevel="0" collapsed="false">
      <c r="A67" s="0" t="s">
        <v>223</v>
      </c>
      <c r="B67" s="0" t="s">
        <v>224</v>
      </c>
      <c r="C67" s="0" t="n">
        <v>2.11</v>
      </c>
      <c r="D67" s="0" t="n">
        <v>25</v>
      </c>
      <c r="E67" s="0" t="n">
        <v>1</v>
      </c>
      <c r="F67" s="0" t="s">
        <v>100</v>
      </c>
      <c r="G67" s="0" t="n">
        <v>16</v>
      </c>
      <c r="H67" s="0" t="n">
        <v>52.75</v>
      </c>
      <c r="I67" s="0" t="s">
        <v>225</v>
      </c>
      <c r="J67" s="0" t="s">
        <v>217</v>
      </c>
      <c r="K67" s="0" t="s">
        <v>74</v>
      </c>
    </row>
    <row r="68" customFormat="false" ht="15" hidden="false" customHeight="false" outlineLevel="0" collapsed="false">
      <c r="A68" s="0" t="s">
        <v>226</v>
      </c>
      <c r="B68" s="0" t="s">
        <v>227</v>
      </c>
      <c r="C68" s="0" t="n">
        <v>23.46</v>
      </c>
      <c r="D68" s="0" t="n">
        <v>25</v>
      </c>
      <c r="E68" s="0" t="n">
        <v>0.81</v>
      </c>
      <c r="F68" s="0" t="s">
        <v>100</v>
      </c>
      <c r="G68" s="0" t="n">
        <v>16</v>
      </c>
      <c r="H68" s="0" t="n">
        <v>475</v>
      </c>
      <c r="I68" s="0" t="s">
        <v>228</v>
      </c>
      <c r="J68" s="0" t="s">
        <v>217</v>
      </c>
      <c r="K68" s="0" t="s">
        <v>74</v>
      </c>
    </row>
    <row r="69" customFormat="false" ht="15" hidden="false" customHeight="false" outlineLevel="0" collapsed="false">
      <c r="B69" s="6" t="s">
        <v>229</v>
      </c>
      <c r="C69" s="4" t="n">
        <f aca="false">SUM(C66:C68)</f>
        <v>27.88</v>
      </c>
      <c r="H69" s="4" t="n">
        <f aca="false">SUM(H66:H68)</f>
        <v>585.5</v>
      </c>
    </row>
    <row r="70" customFormat="false" ht="15" hidden="false" customHeight="false" outlineLevel="0" collapsed="false">
      <c r="A70" s="5" t="s">
        <v>230</v>
      </c>
    </row>
    <row r="71" customFormat="false" ht="15" hidden="false" customHeight="false" outlineLevel="0" collapsed="false">
      <c r="A71" s="0" t="s">
        <v>231</v>
      </c>
      <c r="B71" s="0" t="s">
        <v>232</v>
      </c>
      <c r="C71" s="0" t="n">
        <v>3.26</v>
      </c>
      <c r="D71" s="0" t="n">
        <v>25</v>
      </c>
      <c r="E71" s="0" t="n">
        <v>0</v>
      </c>
      <c r="F71" s="0" t="s">
        <v>71</v>
      </c>
      <c r="G71" s="0" t="n">
        <v>16</v>
      </c>
      <c r="H71" s="0" t="n">
        <v>0</v>
      </c>
      <c r="I71" s="0" t="s">
        <v>233</v>
      </c>
      <c r="J71" s="0" t="s">
        <v>234</v>
      </c>
      <c r="K71" s="0" t="s">
        <v>74</v>
      </c>
    </row>
    <row r="72" customFormat="false" ht="15" hidden="false" customHeight="false" outlineLevel="0" collapsed="false">
      <c r="B72" s="6" t="s">
        <v>235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236</v>
      </c>
    </row>
    <row r="74" customFormat="false" ht="15" hidden="false" customHeight="false" outlineLevel="0" collapsed="false">
      <c r="A74" s="0" t="s">
        <v>237</v>
      </c>
      <c r="B74" s="0" t="s">
        <v>238</v>
      </c>
      <c r="C74" s="0" t="n">
        <v>2.31</v>
      </c>
      <c r="D74" s="0" t="n">
        <v>25</v>
      </c>
      <c r="E74" s="0" t="n">
        <v>1</v>
      </c>
      <c r="F74" s="0" t="s">
        <v>100</v>
      </c>
      <c r="G74" s="0" t="n">
        <v>16</v>
      </c>
      <c r="H74" s="0" t="n">
        <v>23.1</v>
      </c>
      <c r="I74" s="0" t="s">
        <v>239</v>
      </c>
      <c r="J74" s="0" t="s">
        <v>240</v>
      </c>
      <c r="K74" s="0" t="s">
        <v>74</v>
      </c>
    </row>
    <row r="75" customFormat="false" ht="15" hidden="false" customHeight="false" outlineLevel="0" collapsed="false">
      <c r="A75" s="0" t="s">
        <v>241</v>
      </c>
      <c r="B75" s="0" t="s">
        <v>242</v>
      </c>
      <c r="C75" s="0" t="n">
        <v>0.603</v>
      </c>
      <c r="D75" s="0" t="n">
        <v>25</v>
      </c>
      <c r="E75" s="0" t="n">
        <v>1</v>
      </c>
      <c r="F75" s="0" t="s">
        <v>100</v>
      </c>
      <c r="G75" s="0" t="n">
        <v>16</v>
      </c>
      <c r="H75" s="0" t="n">
        <v>6.03</v>
      </c>
      <c r="I75" s="0" t="s">
        <v>243</v>
      </c>
      <c r="J75" s="0" t="s">
        <v>240</v>
      </c>
      <c r="K75" s="0" t="s">
        <v>74</v>
      </c>
    </row>
    <row r="76" customFormat="false" ht="15" hidden="false" customHeight="false" outlineLevel="0" collapsed="false">
      <c r="A76" s="0" t="s">
        <v>244</v>
      </c>
      <c r="B76" s="0" t="s">
        <v>245</v>
      </c>
      <c r="C76" s="0" t="n">
        <v>0.603</v>
      </c>
      <c r="D76" s="0" t="n">
        <v>25</v>
      </c>
      <c r="E76" s="0" t="n">
        <v>1</v>
      </c>
      <c r="F76" s="0" t="s">
        <v>100</v>
      </c>
      <c r="G76" s="0" t="n">
        <v>16</v>
      </c>
      <c r="H76" s="0" t="n">
        <v>6.03</v>
      </c>
      <c r="I76" s="0" t="s">
        <v>246</v>
      </c>
      <c r="J76" s="0" t="s">
        <v>240</v>
      </c>
      <c r="K76" s="0" t="s">
        <v>74</v>
      </c>
    </row>
    <row r="77" customFormat="false" ht="15" hidden="false" customHeight="false" outlineLevel="0" collapsed="false">
      <c r="A77" s="0" t="s">
        <v>247</v>
      </c>
      <c r="B77" s="0" t="s">
        <v>248</v>
      </c>
      <c r="C77" s="0" t="n">
        <v>1</v>
      </c>
      <c r="D77" s="0" t="n">
        <v>25</v>
      </c>
      <c r="E77" s="0" t="n">
        <v>1</v>
      </c>
      <c r="F77" s="0" t="s">
        <v>100</v>
      </c>
      <c r="G77" s="0" t="n">
        <v>16</v>
      </c>
      <c r="H77" s="0" t="n">
        <v>10</v>
      </c>
      <c r="I77" s="0" t="s">
        <v>249</v>
      </c>
      <c r="J77" s="0" t="s">
        <v>240</v>
      </c>
      <c r="K77" s="0" t="s">
        <v>74</v>
      </c>
    </row>
    <row r="78" customFormat="false" ht="15" hidden="false" customHeight="false" outlineLevel="0" collapsed="false">
      <c r="B78" s="6" t="s">
        <v>250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251</v>
      </c>
    </row>
    <row r="80" customFormat="false" ht="15" hidden="false" customHeight="false" outlineLevel="0" collapsed="false">
      <c r="A80" s="0" t="s">
        <v>252</v>
      </c>
      <c r="B80" s="0" t="s">
        <v>253</v>
      </c>
      <c r="C80" s="0" t="n">
        <v>9.89</v>
      </c>
      <c r="D80" s="0" t="n">
        <v>2.708</v>
      </c>
      <c r="E80" s="0" t="n">
        <v>2</v>
      </c>
      <c r="F80" s="0" t="s">
        <v>107</v>
      </c>
      <c r="G80" s="0" t="n">
        <v>16</v>
      </c>
      <c r="H80" s="0" t="n">
        <v>53.56</v>
      </c>
      <c r="I80" s="0" t="s">
        <v>254</v>
      </c>
      <c r="J80" s="0" t="s">
        <v>255</v>
      </c>
      <c r="K80" s="0" t="s">
        <v>74</v>
      </c>
    </row>
    <row r="81" customFormat="false" ht="15" hidden="false" customHeight="false" outlineLevel="0" collapsed="false">
      <c r="A81" s="0" t="s">
        <v>256</v>
      </c>
      <c r="B81" s="0" t="s">
        <v>257</v>
      </c>
      <c r="C81" s="0" t="n">
        <v>4.14</v>
      </c>
      <c r="D81" s="0" t="n">
        <v>2.708</v>
      </c>
      <c r="E81" s="0" t="n">
        <v>2</v>
      </c>
      <c r="F81" s="0" t="s">
        <v>107</v>
      </c>
      <c r="G81" s="0" t="n">
        <v>16</v>
      </c>
      <c r="H81" s="0" t="n">
        <v>22.42</v>
      </c>
      <c r="I81" s="0" t="s">
        <v>258</v>
      </c>
      <c r="J81" s="0" t="s">
        <v>255</v>
      </c>
      <c r="K81" s="0" t="s">
        <v>74</v>
      </c>
    </row>
    <row r="82" customFormat="false" ht="15" hidden="false" customHeight="false" outlineLevel="0" collapsed="false">
      <c r="A82" s="0" t="s">
        <v>259</v>
      </c>
      <c r="B82" s="0" t="s">
        <v>260</v>
      </c>
      <c r="C82" s="0" t="n">
        <v>6.24</v>
      </c>
      <c r="D82" s="0" t="n">
        <v>2.708</v>
      </c>
      <c r="E82" s="0" t="n">
        <v>2</v>
      </c>
      <c r="F82" s="0" t="s">
        <v>107</v>
      </c>
      <c r="G82" s="0" t="n">
        <v>16</v>
      </c>
      <c r="H82" s="0" t="n">
        <v>33.8</v>
      </c>
      <c r="I82" s="0" t="s">
        <v>261</v>
      </c>
      <c r="J82" s="0" t="s">
        <v>255</v>
      </c>
      <c r="K82" s="0" t="s">
        <v>74</v>
      </c>
    </row>
    <row r="83" customFormat="false" ht="15" hidden="false" customHeight="false" outlineLevel="0" collapsed="false">
      <c r="B83" s="6" t="s">
        <v>262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263</v>
      </c>
    </row>
    <row r="85" customFormat="false" ht="15" hidden="false" customHeight="false" outlineLevel="0" collapsed="false">
      <c r="A85" s="0" t="s">
        <v>264</v>
      </c>
      <c r="B85" s="0" t="s">
        <v>265</v>
      </c>
      <c r="C85" s="0" t="n">
        <v>3.17</v>
      </c>
      <c r="D85" s="0" t="n">
        <v>2.708</v>
      </c>
      <c r="E85" s="0" t="n">
        <v>2</v>
      </c>
      <c r="F85" s="0" t="s">
        <v>107</v>
      </c>
      <c r="G85" s="0" t="n">
        <v>16</v>
      </c>
      <c r="H85" s="0" t="n">
        <v>17.16</v>
      </c>
      <c r="I85" s="0" t="s">
        <v>266</v>
      </c>
      <c r="J85" s="0" t="s">
        <v>267</v>
      </c>
      <c r="K85" s="0" t="s">
        <v>74</v>
      </c>
    </row>
    <row r="86" customFormat="false" ht="15" hidden="false" customHeight="false" outlineLevel="0" collapsed="false">
      <c r="B86" s="6" t="s">
        <v>268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269</v>
      </c>
    </row>
    <row r="88" customFormat="false" ht="15" hidden="false" customHeight="false" outlineLevel="0" collapsed="false">
      <c r="A88" s="0" t="s">
        <v>270</v>
      </c>
      <c r="B88" s="0" t="s">
        <v>271</v>
      </c>
      <c r="C88" s="0" t="n">
        <v>5.14</v>
      </c>
      <c r="D88" s="0" t="n">
        <v>1</v>
      </c>
      <c r="E88" s="0" t="n">
        <v>2</v>
      </c>
      <c r="F88" s="0" t="s">
        <v>107</v>
      </c>
      <c r="G88" s="0" t="n">
        <v>16</v>
      </c>
      <c r="H88" s="0" t="n">
        <v>10.28</v>
      </c>
      <c r="I88" s="0" t="s">
        <v>272</v>
      </c>
      <c r="J88" s="0" t="s">
        <v>273</v>
      </c>
      <c r="K88" s="0" t="s">
        <v>74</v>
      </c>
    </row>
    <row r="89" customFormat="false" ht="15" hidden="false" customHeight="false" outlineLevel="0" collapsed="false">
      <c r="B89" s="6" t="s">
        <v>274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275</v>
      </c>
    </row>
    <row r="91" customFormat="false" ht="15" hidden="false" customHeight="false" outlineLevel="0" collapsed="false">
      <c r="A91" s="0" t="s">
        <v>276</v>
      </c>
      <c r="B91" s="0" t="s">
        <v>277</v>
      </c>
      <c r="C91" s="0" t="n">
        <v>3.17</v>
      </c>
      <c r="D91" s="0" t="n">
        <v>2.708</v>
      </c>
      <c r="E91" s="0" t="n">
        <v>2</v>
      </c>
      <c r="F91" s="0" t="s">
        <v>107</v>
      </c>
      <c r="G91" s="0" t="n">
        <v>16</v>
      </c>
      <c r="H91" s="0" t="n">
        <v>17.16</v>
      </c>
      <c r="I91" s="0" t="s">
        <v>278</v>
      </c>
      <c r="J91" s="0" t="s">
        <v>279</v>
      </c>
      <c r="K91" s="0" t="s">
        <v>74</v>
      </c>
    </row>
    <row r="92" customFormat="false" ht="15" hidden="false" customHeight="false" outlineLevel="0" collapsed="false">
      <c r="B92" s="6" t="s">
        <v>280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281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14881.32</v>
      </c>
    </row>
    <row r="95" customFormat="false" ht="15" hidden="false" customHeight="false" outlineLevel="0" collapsed="false">
      <c r="A95" s="5" t="s">
        <v>282</v>
      </c>
    </row>
    <row r="96" customFormat="false" ht="15" hidden="false" customHeight="false" outlineLevel="0" collapsed="false">
      <c r="A96" s="0" t="s">
        <v>283</v>
      </c>
      <c r="B96" s="0" t="s">
        <v>284</v>
      </c>
      <c r="C96" s="0" t="n">
        <v>8</v>
      </c>
      <c r="D96" s="0" t="n">
        <v>8</v>
      </c>
      <c r="E96" s="0" t="n">
        <v>1</v>
      </c>
      <c r="F96" s="0" t="s">
        <v>107</v>
      </c>
      <c r="G96" s="0" t="n">
        <v>16</v>
      </c>
      <c r="H96" s="0" t="n">
        <v>64</v>
      </c>
      <c r="I96" s="0" t="s">
        <v>285</v>
      </c>
      <c r="J96" s="0" t="s">
        <v>286</v>
      </c>
      <c r="K96" s="0" t="s">
        <v>74</v>
      </c>
    </row>
    <row r="97" customFormat="false" ht="15" hidden="false" customHeight="false" outlineLevel="0" collapsed="false">
      <c r="A97" s="0" t="s">
        <v>287</v>
      </c>
      <c r="B97" s="0" t="s">
        <v>288</v>
      </c>
      <c r="C97" s="0" t="n">
        <v>8</v>
      </c>
      <c r="D97" s="0" t="n">
        <v>8</v>
      </c>
      <c r="E97" s="0" t="n">
        <v>1</v>
      </c>
      <c r="F97" s="0" t="s">
        <v>107</v>
      </c>
      <c r="G97" s="0" t="n">
        <v>16</v>
      </c>
      <c r="H97" s="0" t="n">
        <v>64</v>
      </c>
      <c r="I97" s="0" t="s">
        <v>285</v>
      </c>
      <c r="J97" s="0" t="s">
        <v>286</v>
      </c>
      <c r="K97" s="0" t="s">
        <v>74</v>
      </c>
    </row>
    <row r="98" customFormat="false" ht="15" hidden="false" customHeight="false" outlineLevel="0" collapsed="false">
      <c r="A98" s="0" t="s">
        <v>289</v>
      </c>
      <c r="B98" s="0" t="s">
        <v>290</v>
      </c>
      <c r="C98" s="0" t="n">
        <v>8</v>
      </c>
      <c r="D98" s="0" t="n">
        <v>8</v>
      </c>
      <c r="E98" s="0" t="n">
        <v>1</v>
      </c>
      <c r="F98" s="0" t="s">
        <v>107</v>
      </c>
      <c r="G98" s="0" t="n">
        <v>16</v>
      </c>
      <c r="H98" s="0" t="n">
        <v>64</v>
      </c>
      <c r="I98" s="0" t="s">
        <v>285</v>
      </c>
      <c r="J98" s="0" t="s">
        <v>286</v>
      </c>
      <c r="K98" s="0" t="s">
        <v>74</v>
      </c>
    </row>
    <row r="99" customFormat="false" ht="15" hidden="false" customHeight="false" outlineLevel="0" collapsed="false">
      <c r="A99" s="0" t="s">
        <v>291</v>
      </c>
      <c r="B99" s="0" t="s">
        <v>292</v>
      </c>
      <c r="C99" s="0" t="n">
        <v>8</v>
      </c>
      <c r="D99" s="0" t="n">
        <v>8</v>
      </c>
      <c r="E99" s="0" t="n">
        <v>1</v>
      </c>
      <c r="F99" s="0" t="s">
        <v>107</v>
      </c>
      <c r="G99" s="0" t="n">
        <v>16</v>
      </c>
      <c r="H99" s="0" t="n">
        <v>64</v>
      </c>
      <c r="I99" s="0" t="s">
        <v>285</v>
      </c>
      <c r="J99" s="0" t="s">
        <v>286</v>
      </c>
      <c r="K99" s="0" t="s">
        <v>74</v>
      </c>
    </row>
    <row r="100" customFormat="false" ht="15" hidden="false" customHeight="false" outlineLevel="0" collapsed="false">
      <c r="A100" s="0" t="s">
        <v>293</v>
      </c>
      <c r="B100" s="0" t="s">
        <v>294</v>
      </c>
      <c r="C100" s="0" t="n">
        <v>8</v>
      </c>
      <c r="D100" s="0" t="n">
        <v>8</v>
      </c>
      <c r="E100" s="0" t="n">
        <v>1</v>
      </c>
      <c r="F100" s="0" t="s">
        <v>107</v>
      </c>
      <c r="G100" s="0" t="n">
        <v>16</v>
      </c>
      <c r="H100" s="0" t="n">
        <v>64</v>
      </c>
      <c r="I100" s="0" t="s">
        <v>285</v>
      </c>
      <c r="J100" s="0" t="s">
        <v>286</v>
      </c>
      <c r="K100" s="0" t="s">
        <v>74</v>
      </c>
    </row>
    <row r="101" customFormat="false" ht="15" hidden="false" customHeight="false" outlineLevel="0" collapsed="false">
      <c r="A101" s="0" t="s">
        <v>295</v>
      </c>
      <c r="B101" s="0" t="s">
        <v>296</v>
      </c>
      <c r="C101" s="0" t="n">
        <v>8</v>
      </c>
      <c r="D101" s="0" t="n">
        <v>8</v>
      </c>
      <c r="E101" s="0" t="n">
        <v>1</v>
      </c>
      <c r="F101" s="0" t="s">
        <v>107</v>
      </c>
      <c r="G101" s="0" t="n">
        <v>16</v>
      </c>
      <c r="H101" s="0" t="n">
        <v>64</v>
      </c>
      <c r="I101" s="0" t="s">
        <v>285</v>
      </c>
      <c r="J101" s="0" t="s">
        <v>286</v>
      </c>
      <c r="K101" s="0" t="s">
        <v>74</v>
      </c>
    </row>
    <row r="102" customFormat="false" ht="15" hidden="false" customHeight="false" outlineLevel="0" collapsed="false">
      <c r="A102" s="0" t="s">
        <v>297</v>
      </c>
      <c r="B102" s="0" t="s">
        <v>298</v>
      </c>
      <c r="C102" s="0" t="n">
        <v>8</v>
      </c>
      <c r="D102" s="0" t="n">
        <v>8</v>
      </c>
      <c r="E102" s="0" t="n">
        <v>1</v>
      </c>
      <c r="F102" s="0" t="s">
        <v>107</v>
      </c>
      <c r="G102" s="0" t="n">
        <v>16</v>
      </c>
      <c r="H102" s="0" t="n">
        <v>64</v>
      </c>
      <c r="I102" s="0" t="s">
        <v>285</v>
      </c>
      <c r="J102" s="0" t="s">
        <v>286</v>
      </c>
      <c r="K102" s="0" t="s">
        <v>74</v>
      </c>
    </row>
    <row r="103" customFormat="false" ht="15" hidden="false" customHeight="false" outlineLevel="0" collapsed="false">
      <c r="A103" s="0" t="s">
        <v>299</v>
      </c>
      <c r="B103" s="0" t="s">
        <v>300</v>
      </c>
      <c r="C103" s="0" t="n">
        <v>8</v>
      </c>
      <c r="D103" s="0" t="n">
        <v>8</v>
      </c>
      <c r="E103" s="0" t="n">
        <v>1</v>
      </c>
      <c r="F103" s="0" t="s">
        <v>107</v>
      </c>
      <c r="G103" s="0" t="n">
        <v>16</v>
      </c>
      <c r="H103" s="0" t="n">
        <v>64</v>
      </c>
      <c r="I103" s="0" t="s">
        <v>285</v>
      </c>
      <c r="J103" s="0" t="s">
        <v>286</v>
      </c>
      <c r="K103" s="0" t="s">
        <v>74</v>
      </c>
    </row>
    <row r="104" customFormat="false" ht="15" hidden="false" customHeight="false" outlineLevel="0" collapsed="false">
      <c r="A104" s="0" t="s">
        <v>301</v>
      </c>
      <c r="B104" s="0" t="s">
        <v>302</v>
      </c>
      <c r="C104" s="0" t="n">
        <v>8</v>
      </c>
      <c r="D104" s="0" t="n">
        <v>8</v>
      </c>
      <c r="E104" s="0" t="n">
        <v>1</v>
      </c>
      <c r="F104" s="0" t="s">
        <v>107</v>
      </c>
      <c r="G104" s="0" t="n">
        <v>16</v>
      </c>
      <c r="H104" s="0" t="n">
        <v>64</v>
      </c>
      <c r="I104" s="0" t="s">
        <v>285</v>
      </c>
      <c r="J104" s="0" t="s">
        <v>286</v>
      </c>
      <c r="K104" s="0" t="s">
        <v>74</v>
      </c>
    </row>
    <row r="105" customFormat="false" ht="15" hidden="false" customHeight="false" outlineLevel="0" collapsed="false">
      <c r="A105" s="0" t="s">
        <v>303</v>
      </c>
      <c r="B105" s="0" t="s">
        <v>304</v>
      </c>
      <c r="C105" s="0" t="n">
        <v>22.77</v>
      </c>
      <c r="D105" s="0" t="n">
        <v>14</v>
      </c>
      <c r="E105" s="0" t="n">
        <v>1</v>
      </c>
      <c r="F105" s="0" t="s">
        <v>107</v>
      </c>
      <c r="G105" s="0" t="n">
        <v>16</v>
      </c>
      <c r="H105" s="0" t="n">
        <v>227.7</v>
      </c>
      <c r="I105" s="0" t="s">
        <v>305</v>
      </c>
      <c r="J105" s="0" t="s">
        <v>306</v>
      </c>
      <c r="K105" s="0" t="s">
        <v>74</v>
      </c>
    </row>
    <row r="106" customFormat="false" ht="15" hidden="false" customHeight="false" outlineLevel="0" collapsed="false">
      <c r="A106" s="0" t="s">
        <v>307</v>
      </c>
      <c r="B106" s="0" t="s">
        <v>308</v>
      </c>
      <c r="C106" s="0" t="n">
        <v>10.12</v>
      </c>
      <c r="D106" s="0" t="n">
        <v>14</v>
      </c>
      <c r="E106" s="0" t="n">
        <v>1</v>
      </c>
      <c r="F106" s="0" t="s">
        <v>107</v>
      </c>
      <c r="G106" s="0" t="n">
        <v>16</v>
      </c>
      <c r="H106" s="0" t="n">
        <v>101.2</v>
      </c>
      <c r="I106" s="0" t="s">
        <v>309</v>
      </c>
      <c r="J106" s="0" t="s">
        <v>306</v>
      </c>
      <c r="K106" s="0" t="s">
        <v>74</v>
      </c>
    </row>
    <row r="107" customFormat="false" ht="15" hidden="false" customHeight="false" outlineLevel="0" collapsed="false">
      <c r="A107" s="0" t="s">
        <v>310</v>
      </c>
      <c r="B107" s="0" t="s">
        <v>311</v>
      </c>
      <c r="C107" s="0" t="n">
        <v>20</v>
      </c>
      <c r="D107" s="0" t="n">
        <v>13.5</v>
      </c>
      <c r="E107" s="0" t="n">
        <v>1</v>
      </c>
      <c r="F107" s="0" t="s">
        <v>107</v>
      </c>
      <c r="G107" s="0" t="n">
        <v>16</v>
      </c>
      <c r="H107" s="0" t="n">
        <v>10</v>
      </c>
      <c r="I107" s="0" t="s">
        <v>312</v>
      </c>
      <c r="J107" s="0" t="s">
        <v>306</v>
      </c>
      <c r="K107" s="0" t="s">
        <v>74</v>
      </c>
    </row>
    <row r="108" customFormat="false" ht="15" hidden="false" customHeight="false" outlineLevel="0" collapsed="false">
      <c r="A108" s="0" t="s">
        <v>313</v>
      </c>
      <c r="B108" s="0" t="s">
        <v>314</v>
      </c>
      <c r="C108" s="0" t="n">
        <v>6.25</v>
      </c>
      <c r="D108" s="0" t="n">
        <v>13.5</v>
      </c>
      <c r="E108" s="0" t="n">
        <v>1</v>
      </c>
      <c r="F108" s="0" t="s">
        <v>107</v>
      </c>
      <c r="G108" s="0" t="n">
        <v>16</v>
      </c>
      <c r="H108" s="0" t="n">
        <v>3.12</v>
      </c>
      <c r="I108" s="0" t="s">
        <v>315</v>
      </c>
      <c r="J108" s="0" t="s">
        <v>306</v>
      </c>
      <c r="K108" s="0" t="s">
        <v>74</v>
      </c>
    </row>
    <row r="109" customFormat="false" ht="15" hidden="false" customHeight="false" outlineLevel="0" collapsed="false">
      <c r="A109" s="0" t="s">
        <v>316</v>
      </c>
      <c r="B109" s="0" t="s">
        <v>317</v>
      </c>
      <c r="C109" s="0" t="n">
        <v>6.167</v>
      </c>
      <c r="D109" s="0" t="n">
        <v>17.917</v>
      </c>
      <c r="E109" s="0" t="n">
        <v>1</v>
      </c>
      <c r="F109" s="0" t="s">
        <v>100</v>
      </c>
      <c r="G109" s="0" t="n">
        <v>16</v>
      </c>
      <c r="H109" s="0" t="n">
        <v>61.67</v>
      </c>
      <c r="I109" s="0" t="s">
        <v>318</v>
      </c>
      <c r="J109" s="0" t="s">
        <v>319</v>
      </c>
      <c r="K109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320</v>
      </c>
    </row>
    <row r="2" customFormat="false" ht="15" hidden="false" customHeight="false" outlineLevel="0" collapsed="false">
      <c r="A2" s="0" t="s">
        <v>321</v>
      </c>
    </row>
    <row r="3" customFormat="false" ht="15" hidden="false" customHeight="false" outlineLevel="0" collapsed="false">
      <c r="A3" s="2" t="s">
        <v>322</v>
      </c>
      <c r="B3" s="2" t="s">
        <v>323</v>
      </c>
      <c r="C3" s="2" t="s">
        <v>324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</row>
    <row r="4" customFormat="false" ht="15" hidden="false" customHeight="false" outlineLevel="0" collapsed="false">
      <c r="A4" s="0" t="s">
        <v>332</v>
      </c>
      <c r="B4" s="0" t="s">
        <v>333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334</v>
      </c>
      <c r="H4" s="0" t="n">
        <f aca="false">ROUNDUP(F4/Inputs!$B$11,0)</f>
        <v>52</v>
      </c>
      <c r="I4" s="0" t="s">
        <v>335</v>
      </c>
    </row>
    <row r="5" customFormat="false" ht="15" hidden="false" customHeight="false" outlineLevel="0" collapsed="false">
      <c r="A5" s="0" t="s">
        <v>336</v>
      </c>
      <c r="B5" s="0" t="s">
        <v>333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334</v>
      </c>
      <c r="H5" s="0" t="n">
        <f aca="false">ROUNDUP(F5/Inputs!$B$11,0)</f>
        <v>14</v>
      </c>
      <c r="I5" s="0" t="s">
        <v>337</v>
      </c>
    </row>
    <row r="6" customFormat="false" ht="15" hidden="false" customHeight="false" outlineLevel="0" collapsed="false">
      <c r="A6" s="0" t="s">
        <v>338</v>
      </c>
      <c r="B6" s="0" t="s">
        <v>333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334</v>
      </c>
      <c r="H6" s="0" t="n">
        <f aca="false">ROUNDUP(F6/Inputs!$B$11,0)</f>
        <v>9</v>
      </c>
      <c r="I6" s="0" t="s">
        <v>339</v>
      </c>
    </row>
    <row r="7" customFormat="false" ht="15" hidden="false" customHeight="false" outlineLevel="0" collapsed="false">
      <c r="A7" s="0" t="s">
        <v>340</v>
      </c>
      <c r="B7" s="0" t="s">
        <v>333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334</v>
      </c>
      <c r="H7" s="0" t="n">
        <f aca="false">ROUNDUP(F7/Inputs!$B$11,0)</f>
        <v>52</v>
      </c>
      <c r="I7" s="0" t="s">
        <v>335</v>
      </c>
    </row>
    <row r="8" customFormat="false" ht="15" hidden="false" customHeight="false" outlineLevel="0" collapsed="false">
      <c r="A8" s="0" t="s">
        <v>341</v>
      </c>
      <c r="B8" s="0" t="s">
        <v>333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334</v>
      </c>
      <c r="H8" s="0" t="n">
        <f aca="false">ROUNDUP(F8/Inputs!$B$11,0)</f>
        <v>14</v>
      </c>
      <c r="I8" s="0" t="s">
        <v>337</v>
      </c>
    </row>
    <row r="9" customFormat="false" ht="15" hidden="false" customHeight="false" outlineLevel="0" collapsed="false">
      <c r="A9" s="0" t="s">
        <v>342</v>
      </c>
      <c r="B9" s="0" t="s">
        <v>333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334</v>
      </c>
      <c r="H9" s="0" t="n">
        <f aca="false">ROUNDUP(F9/Inputs!$B$11,0)</f>
        <v>9</v>
      </c>
      <c r="I9" s="0" t="s">
        <v>339</v>
      </c>
    </row>
    <row r="10" customFormat="false" ht="15" hidden="false" customHeight="false" outlineLevel="0" collapsed="false">
      <c r="A10" s="0" t="s">
        <v>343</v>
      </c>
      <c r="B10" s="0" t="s">
        <v>333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344</v>
      </c>
      <c r="H10" s="0" t="n">
        <f aca="false">ROUNDUP(F10/Inputs!$B$10,0)</f>
        <v>2</v>
      </c>
      <c r="I10" s="0" t="s">
        <v>345</v>
      </c>
    </row>
    <row r="11" customFormat="false" ht="15" hidden="false" customHeight="false" outlineLevel="0" collapsed="false">
      <c r="A11" s="0" t="s">
        <v>346</v>
      </c>
      <c r="B11" s="0" t="s">
        <v>333</v>
      </c>
      <c r="C11" s="0" t="n">
        <v>3162.5</v>
      </c>
      <c r="D11" s="0" t="n">
        <f aca="false">Inputs!$B$5</f>
        <v>0.15</v>
      </c>
      <c r="E11" s="0" t="n">
        <f aca="false">C11*D11</f>
        <v>474.375</v>
      </c>
      <c r="F11" s="0" t="n">
        <f aca="false">C11+E11</f>
        <v>3636.875</v>
      </c>
      <c r="G11" s="0" t="s">
        <v>344</v>
      </c>
      <c r="H11" s="0" t="n">
        <f aca="false">ROUNDUP(F11/Inputs!$B$10,0)</f>
        <v>182</v>
      </c>
      <c r="I11" s="0" t="s">
        <v>347</v>
      </c>
    </row>
    <row r="12" customFormat="false" ht="15" hidden="false" customHeight="false" outlineLevel="0" collapsed="false">
      <c r="A12" s="0" t="s">
        <v>348</v>
      </c>
      <c r="B12" s="0" t="s">
        <v>333</v>
      </c>
      <c r="C12" s="0" t="n">
        <v>11601.59</v>
      </c>
      <c r="D12" s="0" t="n">
        <f aca="false">Inputs!$B$5</f>
        <v>0.15</v>
      </c>
      <c r="E12" s="0" t="n">
        <f aca="false">C12*D12</f>
        <v>1740.2385</v>
      </c>
      <c r="F12" s="0" t="n">
        <f aca="false">C12+E12</f>
        <v>13341.8285</v>
      </c>
      <c r="G12" s="0" t="s">
        <v>344</v>
      </c>
      <c r="H12" s="0" t="n">
        <f aca="false">ROUNDUP(F12/Inputs!$B$10,0)</f>
        <v>668</v>
      </c>
      <c r="I12" s="0" t="s">
        <v>349</v>
      </c>
    </row>
    <row r="13" customFormat="false" ht="15" hidden="false" customHeight="false" outlineLevel="0" collapsed="false">
      <c r="A13" s="0" t="s">
        <v>350</v>
      </c>
      <c r="B13" s="0" t="s">
        <v>333</v>
      </c>
      <c r="C13" s="0" t="n">
        <v>180.99</v>
      </c>
      <c r="D13" s="0" t="n">
        <f aca="false">Inputs!$B$5</f>
        <v>0.15</v>
      </c>
      <c r="E13" s="0" t="n">
        <f aca="false">C13*D13</f>
        <v>27.1485</v>
      </c>
      <c r="F13" s="0" t="n">
        <f aca="false">C13+E13</f>
        <v>208.1385</v>
      </c>
      <c r="G13" s="0" t="s">
        <v>334</v>
      </c>
      <c r="H13" s="0" t="n">
        <f aca="false">ROUNDUP(F13/Inputs!$B$11,0)</f>
        <v>21</v>
      </c>
      <c r="I13" s="0" t="s">
        <v>351</v>
      </c>
    </row>
    <row r="14" customFormat="false" ht="15" hidden="false" customHeight="false" outlineLevel="0" collapsed="false">
      <c r="A14" s="0" t="s">
        <v>352</v>
      </c>
      <c r="B14" s="0" t="s">
        <v>333</v>
      </c>
      <c r="C14" s="0" t="n">
        <v>2883.65</v>
      </c>
      <c r="D14" s="0" t="n">
        <f aca="false">Inputs!$B$5</f>
        <v>0.15</v>
      </c>
      <c r="E14" s="0" t="n">
        <f aca="false">C14*D14</f>
        <v>432.5475</v>
      </c>
      <c r="F14" s="0" t="n">
        <f aca="false">C14+E14</f>
        <v>3316.1975</v>
      </c>
      <c r="G14" s="0" t="s">
        <v>353</v>
      </c>
      <c r="H14" s="0" t="n">
        <f aca="false">ROUNDUP(F14/Inputs!$B$16,0)</f>
        <v>208</v>
      </c>
      <c r="I14" s="0" t="s">
        <v>354</v>
      </c>
    </row>
    <row r="15" customFormat="false" ht="15" hidden="false" customHeight="false" outlineLevel="0" collapsed="false">
      <c r="A15" s="0" t="s">
        <v>355</v>
      </c>
      <c r="B15" s="0" t="s">
        <v>333</v>
      </c>
      <c r="C15" s="0" t="n">
        <v>207.45</v>
      </c>
      <c r="D15" s="0" t="n">
        <f aca="false">Inputs!$B$5</f>
        <v>0.15</v>
      </c>
      <c r="E15" s="0" t="n">
        <f aca="false">C15*D15</f>
        <v>31.1175</v>
      </c>
      <c r="F15" s="0" t="n">
        <f aca="false">C15+E15</f>
        <v>238.5675</v>
      </c>
      <c r="G15" s="0" t="s">
        <v>356</v>
      </c>
      <c r="H15" s="0" t="n">
        <f aca="false">ROUNDUP(F15/Inputs!$B$17,0)</f>
        <v>20</v>
      </c>
      <c r="I15" s="0" t="s">
        <v>357</v>
      </c>
    </row>
    <row r="16" customFormat="false" ht="15" hidden="false" customHeight="false" outlineLevel="0" collapsed="false">
      <c r="A16" s="0" t="s">
        <v>358</v>
      </c>
      <c r="B16" s="0" t="s">
        <v>333</v>
      </c>
      <c r="C16" s="0" t="n">
        <v>159.16</v>
      </c>
      <c r="D16" s="0" t="n">
        <f aca="false">Inputs!$B$5</f>
        <v>0.15</v>
      </c>
      <c r="E16" s="0" t="n">
        <f aca="false">C16*D16</f>
        <v>23.874</v>
      </c>
      <c r="F16" s="0" t="n">
        <f aca="false">C16+E16</f>
        <v>183.034</v>
      </c>
      <c r="G16" s="0" t="s">
        <v>353</v>
      </c>
      <c r="H16" s="0" t="n">
        <f aca="false">ROUNDUP(F16/Inputs!$B$16,0)</f>
        <v>12</v>
      </c>
      <c r="I16" s="0" t="s">
        <v>359</v>
      </c>
    </row>
    <row r="17" customFormat="false" ht="15" hidden="false" customHeight="false" outlineLevel="0" collapsed="false">
      <c r="A17" s="0" t="s">
        <v>360</v>
      </c>
      <c r="B17" s="0" t="s">
        <v>333</v>
      </c>
      <c r="C17" s="0" t="n">
        <v>2689.79</v>
      </c>
      <c r="D17" s="0" t="n">
        <f aca="false">Inputs!$B$5</f>
        <v>0.15</v>
      </c>
      <c r="E17" s="0" t="n">
        <f aca="false">C17*D17</f>
        <v>403.4685</v>
      </c>
      <c r="F17" s="0" t="n">
        <f aca="false">C17+E17</f>
        <v>3093.2585</v>
      </c>
      <c r="G17" s="0" t="s">
        <v>33</v>
      </c>
      <c r="H17" s="0" t="n">
        <f aca="false">ROUNDUP(F17,0)</f>
        <v>3094</v>
      </c>
      <c r="I17" s="0" t="s">
        <v>361</v>
      </c>
    </row>
    <row r="18" customFormat="false" ht="15" hidden="false" customHeight="false" outlineLevel="0" collapsed="false">
      <c r="A18" s="0" t="s">
        <v>362</v>
      </c>
      <c r="B18" s="0" t="s">
        <v>333</v>
      </c>
      <c r="C18" s="0" t="n">
        <v>568.27</v>
      </c>
      <c r="D18" s="0" t="n">
        <f aca="false">Inputs!$B$5</f>
        <v>0.15</v>
      </c>
      <c r="E18" s="0" t="n">
        <f aca="false">C18*D18</f>
        <v>85.2405</v>
      </c>
      <c r="F18" s="0" t="n">
        <f aca="false">C18+E18</f>
        <v>653.5105</v>
      </c>
      <c r="G18" s="0" t="s">
        <v>363</v>
      </c>
      <c r="H18" s="0" t="n">
        <f aca="false">ROUNDUP(F18/Inputs!$B$26,0)</f>
        <v>82</v>
      </c>
      <c r="I18" s="0" t="s">
        <v>364</v>
      </c>
    </row>
    <row r="19" customFormat="false" ht="15" hidden="false" customHeight="false" outlineLevel="0" collapsed="false">
      <c r="A19" s="0" t="s">
        <v>365</v>
      </c>
      <c r="B19" s="0" t="s">
        <v>366</v>
      </c>
      <c r="C19" s="0" t="n">
        <v>15109.29</v>
      </c>
      <c r="D19" s="0" t="n">
        <f aca="false">Inputs!$B$6</f>
        <v>0.06</v>
      </c>
      <c r="E19" s="0" t="n">
        <f aca="false">C19*D19</f>
        <v>906.5574</v>
      </c>
      <c r="F19" s="0" t="n">
        <f aca="false">C19+E19</f>
        <v>16015.8474</v>
      </c>
      <c r="G19" s="0" t="s">
        <v>367</v>
      </c>
      <c r="H19" s="0" t="n">
        <f aca="false">ROUNDUP(F19/Inputs!$B$9,0)</f>
        <v>334</v>
      </c>
      <c r="I19" s="0" t="s">
        <v>368</v>
      </c>
    </row>
    <row r="20" customFormat="false" ht="15" hidden="false" customHeight="false" outlineLevel="0" collapsed="false">
      <c r="A20" s="0" t="s">
        <v>369</v>
      </c>
      <c r="B20" s="0" t="s">
        <v>366</v>
      </c>
      <c r="C20" s="0" t="n">
        <v>1092.59</v>
      </c>
      <c r="D20" s="0" t="n">
        <f aca="false">Inputs!$B$6</f>
        <v>0.06</v>
      </c>
      <c r="E20" s="0" t="n">
        <f aca="false">C20*D20</f>
        <v>65.5554</v>
      </c>
      <c r="F20" s="0" t="n">
        <f aca="false">C20+E20</f>
        <v>1158.1454</v>
      </c>
      <c r="G20" s="0" t="s">
        <v>367</v>
      </c>
      <c r="H20" s="0" t="n">
        <f aca="false">ROUNDUP(F20/Inputs!$B$9,0)</f>
        <v>25</v>
      </c>
      <c r="I20" s="0" t="s">
        <v>370</v>
      </c>
    </row>
    <row r="21" customFormat="false" ht="15" hidden="false" customHeight="false" outlineLevel="0" collapsed="false">
      <c r="A21" s="0" t="s">
        <v>371</v>
      </c>
      <c r="B21" s="0" t="s">
        <v>333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344</v>
      </c>
      <c r="H21" s="0" t="n">
        <f aca="false">ROUNDUP(F21/Inputs!$B$10,0)</f>
        <v>6</v>
      </c>
      <c r="I21" s="0" t="s">
        <v>372</v>
      </c>
    </row>
    <row r="22" customFormat="false" ht="15" hidden="false" customHeight="false" outlineLevel="0" collapsed="false">
      <c r="A22" s="0" t="s">
        <v>373</v>
      </c>
      <c r="B22" s="0" t="s">
        <v>333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374</v>
      </c>
      <c r="H22" s="0" t="n">
        <f aca="false">ROUNDUP(F22/Inputs!$B$27,0)</f>
        <v>19</v>
      </c>
      <c r="I22" s="0" t="s">
        <v>375</v>
      </c>
    </row>
    <row r="23" customFormat="false" ht="15" hidden="false" customHeight="false" outlineLevel="0" collapsed="false">
      <c r="A23" s="0" t="s">
        <v>376</v>
      </c>
      <c r="B23" s="0" t="s">
        <v>333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377</v>
      </c>
      <c r="H23" s="0" t="n">
        <f aca="false">ROUNDUP(F23/Inputs!$B$28,0)</f>
        <v>132</v>
      </c>
      <c r="I23" s="0" t="s">
        <v>375</v>
      </c>
    </row>
    <row r="24" customFormat="false" ht="15" hidden="false" customHeight="false" outlineLevel="0" collapsed="false">
      <c r="A24" s="0" t="s">
        <v>378</v>
      </c>
      <c r="B24" s="0" t="s">
        <v>333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379</v>
      </c>
      <c r="H24" s="0" t="n">
        <f aca="false">ROUNDUP(F24/Inputs!$B$29,0)</f>
        <v>11</v>
      </c>
      <c r="I24" s="0" t="s">
        <v>375</v>
      </c>
    </row>
    <row r="25" customFormat="false" ht="15" hidden="false" customHeight="false" outlineLevel="0" collapsed="false">
      <c r="A25" s="0" t="s">
        <v>380</v>
      </c>
      <c r="B25" s="0" t="s">
        <v>333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379</v>
      </c>
      <c r="H25" s="0" t="n">
        <f aca="false">ROUNDUP(F25/Inputs!$B$29,0)</f>
        <v>11</v>
      </c>
      <c r="I25" s="0" t="s">
        <v>375</v>
      </c>
    </row>
    <row r="26" customFormat="false" ht="15" hidden="false" customHeight="false" outlineLevel="0" collapsed="false">
      <c r="A26" s="0" t="s">
        <v>381</v>
      </c>
      <c r="B26" s="0" t="s">
        <v>382</v>
      </c>
      <c r="C26" s="0" t="n">
        <v>2522</v>
      </c>
      <c r="D26" s="0" t="n">
        <f aca="false">Inputs!$B$5</f>
        <v>0.15</v>
      </c>
      <c r="E26" s="0" t="n">
        <f aca="false">C26*D26</f>
        <v>378.3</v>
      </c>
      <c r="F26" s="0" t="n">
        <f aca="false">C26+E26</f>
        <v>2900.3</v>
      </c>
      <c r="G26" s="0" t="s">
        <v>383</v>
      </c>
      <c r="H26" s="0" t="n">
        <f aca="false">ROUNDUP(F26,0)</f>
        <v>2901</v>
      </c>
      <c r="I26" s="0" t="s">
        <v>384</v>
      </c>
    </row>
    <row r="27" customFormat="false" ht="15" hidden="false" customHeight="false" outlineLevel="0" collapsed="false">
      <c r="A27" s="0" t="s">
        <v>385</v>
      </c>
      <c r="B27" s="0" t="s">
        <v>382</v>
      </c>
      <c r="C27" s="0" t="n">
        <v>291</v>
      </c>
      <c r="D27" s="0" t="n">
        <f aca="false">Inputs!$B$5</f>
        <v>0.15</v>
      </c>
      <c r="E27" s="0" t="n">
        <f aca="false">C27*D27</f>
        <v>43.65</v>
      </c>
      <c r="F27" s="0" t="n">
        <f aca="false">C27+E27</f>
        <v>334.65</v>
      </c>
      <c r="G27" s="0" t="s">
        <v>383</v>
      </c>
      <c r="H27" s="0" t="n">
        <f aca="false">ROUNDUP(F27,0)</f>
        <v>335</v>
      </c>
      <c r="I27" s="0" t="s">
        <v>386</v>
      </c>
    </row>
    <row r="28" customFormat="false" ht="15" hidden="false" customHeight="false" outlineLevel="0" collapsed="false">
      <c r="A28" s="0" t="s">
        <v>387</v>
      </c>
      <c r="B28" s="0" t="s">
        <v>382</v>
      </c>
      <c r="C28" s="0" t="n">
        <v>10668</v>
      </c>
      <c r="D28" s="0" t="n">
        <f aca="false">Inputs!$B$5</f>
        <v>0.15</v>
      </c>
      <c r="E28" s="0" t="n">
        <f aca="false">C28*D28</f>
        <v>1600.2</v>
      </c>
      <c r="F28" s="0" t="n">
        <f aca="false">C28+E28</f>
        <v>12268.2</v>
      </c>
      <c r="G28" s="0" t="s">
        <v>383</v>
      </c>
      <c r="H28" s="0" t="n">
        <f aca="false">ROUNDUP(F28,0)</f>
        <v>12269</v>
      </c>
      <c r="I28" s="0" t="s">
        <v>388</v>
      </c>
    </row>
    <row r="29" customFormat="false" ht="15" hidden="false" customHeight="false" outlineLevel="0" collapsed="false">
      <c r="A29" s="0" t="s">
        <v>389</v>
      </c>
      <c r="B29" s="0" t="s">
        <v>333</v>
      </c>
      <c r="C29" s="0" t="n">
        <v>131.42</v>
      </c>
      <c r="D29" s="0" t="n">
        <f aca="false">Inputs!$B$5</f>
        <v>0.15</v>
      </c>
      <c r="E29" s="0" t="n">
        <f aca="false">C29*D29</f>
        <v>19.713</v>
      </c>
      <c r="F29" s="0" t="n">
        <f aca="false">C29+E29</f>
        <v>151.133</v>
      </c>
      <c r="G29" s="0" t="s">
        <v>33</v>
      </c>
      <c r="H29" s="0" t="n">
        <f aca="false">ROUNDUP(F29,0)</f>
        <v>152</v>
      </c>
      <c r="I29" s="0" t="s">
        <v>390</v>
      </c>
    </row>
    <row r="30" customFormat="false" ht="15" hidden="false" customHeight="false" outlineLevel="0" collapsed="false">
      <c r="A30" s="0" t="s">
        <v>391</v>
      </c>
      <c r="B30" s="0" t="s">
        <v>382</v>
      </c>
      <c r="C30" s="0" t="n">
        <v>282</v>
      </c>
      <c r="D30" s="0" t="n">
        <f aca="false">Inputs!$B$5</f>
        <v>0.15</v>
      </c>
      <c r="E30" s="0" t="n">
        <f aca="false">C30*D30</f>
        <v>42.3</v>
      </c>
      <c r="F30" s="0" t="n">
        <f aca="false">C30+E30</f>
        <v>324.3</v>
      </c>
      <c r="G30" s="0" t="s">
        <v>383</v>
      </c>
      <c r="H30" s="0" t="n">
        <f aca="false">ROUNDUP(F30,0)</f>
        <v>325</v>
      </c>
      <c r="I30" s="0" t="s">
        <v>392</v>
      </c>
    </row>
    <row r="31" customFormat="false" ht="15" hidden="false" customHeight="false" outlineLevel="0" collapsed="false">
      <c r="A31" s="0" t="s">
        <v>393</v>
      </c>
      <c r="B31" s="0" t="s">
        <v>366</v>
      </c>
      <c r="C31" s="0" t="n">
        <v>50.04</v>
      </c>
      <c r="D31" s="0" t="n">
        <f aca="false">Inputs!$B$6</f>
        <v>0.06</v>
      </c>
      <c r="E31" s="0" t="n">
        <f aca="false">C31*D31</f>
        <v>3.0024</v>
      </c>
      <c r="F31" s="0" t="n">
        <f aca="false">C31+E31</f>
        <v>53.0424</v>
      </c>
      <c r="G31" s="0" t="s">
        <v>367</v>
      </c>
      <c r="H31" s="0" t="n">
        <f aca="false">ROUNDUP(F31/Inputs!$B$9,0)</f>
        <v>2</v>
      </c>
      <c r="I31" s="0" t="s">
        <v>394</v>
      </c>
    </row>
    <row r="32" customFormat="false" ht="15" hidden="false" customHeight="false" outlineLevel="0" collapsed="false">
      <c r="A32" s="0" t="s">
        <v>395</v>
      </c>
      <c r="B32" s="0" t="s">
        <v>382</v>
      </c>
      <c r="C32" s="0" t="n">
        <v>2331</v>
      </c>
      <c r="D32" s="0" t="n">
        <f aca="false">Inputs!$B$5</f>
        <v>0.15</v>
      </c>
      <c r="E32" s="0" t="n">
        <f aca="false">C32*D32</f>
        <v>349.65</v>
      </c>
      <c r="F32" s="0" t="n">
        <f aca="false">C32+E32</f>
        <v>2680.65</v>
      </c>
      <c r="G32" s="0" t="s">
        <v>383</v>
      </c>
      <c r="H32" s="0" t="n">
        <f aca="false">ROUNDUP(F32,0)</f>
        <v>2681</v>
      </c>
      <c r="I32" s="0" t="s">
        <v>396</v>
      </c>
    </row>
    <row r="33" customFormat="false" ht="15" hidden="false" customHeight="false" outlineLevel="0" collapsed="false">
      <c r="A33" s="0" t="s">
        <v>397</v>
      </c>
      <c r="B33" s="0" t="s">
        <v>382</v>
      </c>
      <c r="C33" s="0" t="n">
        <v>1686</v>
      </c>
      <c r="D33" s="0" t="n">
        <f aca="false">Inputs!$B$5</f>
        <v>0.15</v>
      </c>
      <c r="E33" s="0" t="n">
        <f aca="false">C33*D33</f>
        <v>252.9</v>
      </c>
      <c r="F33" s="0" t="n">
        <f aca="false">C33+E33</f>
        <v>1938.9</v>
      </c>
      <c r="G33" s="0" t="s">
        <v>383</v>
      </c>
      <c r="H33" s="0" t="n">
        <f aca="false">ROUNDUP(F33,0)</f>
        <v>1939</v>
      </c>
      <c r="I33" s="0" t="s">
        <v>398</v>
      </c>
    </row>
    <row r="34" customFormat="false" ht="15" hidden="false" customHeight="false" outlineLevel="0" collapsed="false">
      <c r="A34" s="0" t="s">
        <v>399</v>
      </c>
      <c r="B34" s="0" t="s">
        <v>333</v>
      </c>
      <c r="C34" s="0" t="n">
        <v>479.85</v>
      </c>
      <c r="D34" s="0" t="n">
        <f aca="false">Inputs!$B$5</f>
        <v>0.15</v>
      </c>
      <c r="E34" s="0" t="n">
        <f aca="false">C34*D34</f>
        <v>71.9775</v>
      </c>
      <c r="F34" s="0" t="n">
        <f aca="false">C34+E34</f>
        <v>551.8275</v>
      </c>
      <c r="G34" s="0" t="s">
        <v>334</v>
      </c>
      <c r="H34" s="0" t="n">
        <f aca="false">ROUNDUP(F34/Inputs!$B$11,0)</f>
        <v>56</v>
      </c>
      <c r="I34" s="0" t="s">
        <v>400</v>
      </c>
    </row>
    <row r="35" customFormat="false" ht="15" hidden="false" customHeight="false" outlineLevel="0" collapsed="false">
      <c r="A35" s="0" t="s">
        <v>401</v>
      </c>
      <c r="B35" s="0" t="s">
        <v>333</v>
      </c>
      <c r="C35" s="0" t="n">
        <v>957.03</v>
      </c>
      <c r="D35" s="0" t="n">
        <f aca="false">Inputs!$B$5</f>
        <v>0.15</v>
      </c>
      <c r="E35" s="0" t="n">
        <f aca="false">C35*D35</f>
        <v>143.5545</v>
      </c>
      <c r="F35" s="0" t="n">
        <f aca="false">C35+E35</f>
        <v>1100.5845</v>
      </c>
      <c r="G35" s="0" t="s">
        <v>402</v>
      </c>
      <c r="H35" s="0" t="n">
        <f aca="false">ROUNDUP(F35/Inputs!$B$18,0)</f>
        <v>111</v>
      </c>
      <c r="I35" s="0" t="s">
        <v>403</v>
      </c>
    </row>
    <row r="36" customFormat="false" ht="15" hidden="false" customHeight="false" outlineLevel="0" collapsed="false">
      <c r="A36" s="0" t="s">
        <v>404</v>
      </c>
      <c r="B36" s="0" t="s">
        <v>366</v>
      </c>
      <c r="C36" s="0" t="n">
        <v>739.9</v>
      </c>
      <c r="D36" s="0" t="n">
        <f aca="false">Inputs!$B$6</f>
        <v>0.06</v>
      </c>
      <c r="E36" s="0" t="n">
        <f aca="false">C36*D36</f>
        <v>44.394</v>
      </c>
      <c r="F36" s="0" t="n">
        <f aca="false">C36+E36</f>
        <v>784.294</v>
      </c>
      <c r="G36" s="0" t="s">
        <v>367</v>
      </c>
      <c r="H36" s="0" t="n">
        <f aca="false">ROUNDUP(F36/Inputs!$B$9,0)</f>
        <v>17</v>
      </c>
      <c r="I36" s="0" t="s">
        <v>405</v>
      </c>
    </row>
    <row r="37" customFormat="false" ht="15" hidden="false" customHeight="false" outlineLevel="0" collapsed="false">
      <c r="A37" s="0" t="s">
        <v>406</v>
      </c>
      <c r="B37" s="0" t="s">
        <v>333</v>
      </c>
      <c r="C37" s="0" t="n">
        <v>281.09</v>
      </c>
      <c r="D37" s="0" t="n">
        <f aca="false">Inputs!$B$5</f>
        <v>0.15</v>
      </c>
      <c r="E37" s="0" t="n">
        <f aca="false">C37*D37</f>
        <v>42.1635</v>
      </c>
      <c r="F37" s="0" t="n">
        <f aca="false">C37+E37</f>
        <v>323.2535</v>
      </c>
      <c r="G37" s="0" t="s">
        <v>334</v>
      </c>
      <c r="H37" s="0" t="n">
        <f aca="false">ROUNDUP(F37/Inputs!$B$11,0)</f>
        <v>33</v>
      </c>
      <c r="I37" s="0" t="s">
        <v>407</v>
      </c>
    </row>
    <row r="38" customFormat="false" ht="15" hidden="false" customHeight="false" outlineLevel="0" collapsed="false">
      <c r="A38" s="0" t="s">
        <v>408</v>
      </c>
      <c r="B38" s="0" t="s">
        <v>333</v>
      </c>
      <c r="C38" s="0" t="n">
        <v>144.06</v>
      </c>
      <c r="D38" s="0" t="n">
        <f aca="false">Inputs!$B$5</f>
        <v>0.15</v>
      </c>
      <c r="E38" s="0" t="n">
        <f aca="false">C38*D38</f>
        <v>21.609</v>
      </c>
      <c r="F38" s="0" t="n">
        <f aca="false">C38+E38</f>
        <v>165.669</v>
      </c>
      <c r="G38" s="0" t="s">
        <v>334</v>
      </c>
      <c r="H38" s="0" t="n">
        <f aca="false">ROUNDUP(F38/Inputs!$B$11,0)</f>
        <v>17</v>
      </c>
      <c r="I38" s="0" t="s">
        <v>409</v>
      </c>
    </row>
    <row r="39" customFormat="false" ht="15" hidden="false" customHeight="false" outlineLevel="0" collapsed="false">
      <c r="A39" s="0" t="s">
        <v>410</v>
      </c>
      <c r="B39" s="0" t="s">
        <v>333</v>
      </c>
      <c r="C39" s="0" t="n">
        <v>12.67</v>
      </c>
      <c r="D39" s="0" t="n">
        <f aca="false">Inputs!$B$5</f>
        <v>0.15</v>
      </c>
      <c r="E39" s="0" t="n">
        <f aca="false">C39*D39</f>
        <v>1.9005</v>
      </c>
      <c r="F39" s="0" t="n">
        <f aca="false">C39+E39</f>
        <v>14.5705</v>
      </c>
      <c r="G39" s="0" t="s">
        <v>334</v>
      </c>
      <c r="H39" s="0" t="n">
        <f aca="false">ROUNDUP(F39/Inputs!$B$11,0)</f>
        <v>2</v>
      </c>
      <c r="I39" s="0" t="s">
        <v>411</v>
      </c>
    </row>
    <row r="40" customFormat="false" ht="15" hidden="false" customHeight="false" outlineLevel="0" collapsed="false">
      <c r="A40" s="0" t="s">
        <v>412</v>
      </c>
      <c r="B40" s="0" t="s">
        <v>382</v>
      </c>
      <c r="C40" s="0" t="n">
        <v>775</v>
      </c>
      <c r="D40" s="0" t="n">
        <f aca="false">Inputs!$B$5</f>
        <v>0.15</v>
      </c>
      <c r="E40" s="0" t="n">
        <f aca="false">C40*D40</f>
        <v>116.25</v>
      </c>
      <c r="F40" s="0" t="n">
        <f aca="false">C40+E40</f>
        <v>891.25</v>
      </c>
      <c r="G40" s="0" t="s">
        <v>383</v>
      </c>
      <c r="H40" s="0" t="n">
        <f aca="false">ROUNDUP(F40,0)</f>
        <v>892</v>
      </c>
      <c r="I40" s="0" t="s">
        <v>413</v>
      </c>
    </row>
    <row r="41" customFormat="false" ht="15" hidden="false" customHeight="false" outlineLevel="0" collapsed="false">
      <c r="A41" s="0" t="s">
        <v>414</v>
      </c>
      <c r="B41" s="0" t="s">
        <v>333</v>
      </c>
      <c r="C41" s="0" t="n">
        <v>61.31</v>
      </c>
      <c r="D41" s="0" t="n">
        <f aca="false">Inputs!$B$5</f>
        <v>0.15</v>
      </c>
      <c r="E41" s="0" t="n">
        <f aca="false">C41*D41</f>
        <v>9.1965</v>
      </c>
      <c r="F41" s="0" t="n">
        <f aca="false">C41+E41</f>
        <v>70.5065</v>
      </c>
      <c r="G41" s="0" t="s">
        <v>344</v>
      </c>
      <c r="H41" s="0" t="n">
        <f aca="false">ROUNDUP(F41/Inputs!$B$10,0)</f>
        <v>4</v>
      </c>
      <c r="I41" s="0" t="s">
        <v>415</v>
      </c>
    </row>
    <row r="42" customFormat="false" ht="15" hidden="false" customHeight="false" outlineLevel="0" collapsed="false">
      <c r="A42" s="0" t="s">
        <v>416</v>
      </c>
      <c r="B42" s="0" t="s">
        <v>333</v>
      </c>
      <c r="C42" s="0" t="n">
        <v>17</v>
      </c>
      <c r="D42" s="0" t="n">
        <f aca="false">Inputs!$B$5</f>
        <v>0.15</v>
      </c>
      <c r="E42" s="0" t="n">
        <f aca="false">C42*D42</f>
        <v>2.55</v>
      </c>
      <c r="F42" s="0" t="n">
        <f aca="false">C42+E42</f>
        <v>19.55</v>
      </c>
      <c r="G42" s="0" t="s">
        <v>363</v>
      </c>
      <c r="H42" s="0" t="n">
        <f aca="false">ROUNDUP(F42/Inputs!$B$26,0)</f>
        <v>3</v>
      </c>
      <c r="I42" s="0" t="s">
        <v>417</v>
      </c>
    </row>
    <row r="43" customFormat="false" ht="15" hidden="false" customHeight="false" outlineLevel="0" collapsed="false">
      <c r="A43" s="0" t="s">
        <v>418</v>
      </c>
      <c r="B43" s="0" t="s">
        <v>366</v>
      </c>
      <c r="C43" s="0" t="n">
        <v>1790.51</v>
      </c>
      <c r="D43" s="0" t="n">
        <f aca="false">Inputs!$B$6</f>
        <v>0.06</v>
      </c>
      <c r="E43" s="0" t="n">
        <f aca="false">C43*D43</f>
        <v>107.4306</v>
      </c>
      <c r="F43" s="0" t="n">
        <f aca="false">C43+E43</f>
        <v>1897.9406</v>
      </c>
      <c r="G43" s="0" t="s">
        <v>367</v>
      </c>
      <c r="H43" s="0" t="n">
        <f aca="false">ROUNDUP(F43/Inputs!$B$9,0)</f>
        <v>40</v>
      </c>
      <c r="I43" s="0" t="s">
        <v>419</v>
      </c>
    </row>
    <row r="44" customFormat="false" ht="15" hidden="false" customHeight="false" outlineLevel="0" collapsed="false">
      <c r="A44" s="0" t="s">
        <v>420</v>
      </c>
      <c r="B44" s="0" t="s">
        <v>366</v>
      </c>
      <c r="C44" s="0" t="n">
        <v>402.46</v>
      </c>
      <c r="D44" s="0" t="n">
        <f aca="false">Inputs!$B$6</f>
        <v>0.06</v>
      </c>
      <c r="E44" s="0" t="n">
        <f aca="false">C44*D44</f>
        <v>24.1476</v>
      </c>
      <c r="F44" s="0" t="n">
        <f aca="false">C44+E44</f>
        <v>426.6076</v>
      </c>
      <c r="G44" s="0" t="s">
        <v>367</v>
      </c>
      <c r="H44" s="0" t="n">
        <f aca="false">ROUNDUP(F44/Inputs!$B$9,0)</f>
        <v>9</v>
      </c>
      <c r="I44" s="0" t="s">
        <v>421</v>
      </c>
    </row>
    <row r="45" customFormat="false" ht="15" hidden="false" customHeight="false" outlineLevel="0" collapsed="false">
      <c r="A45" s="0" t="s">
        <v>422</v>
      </c>
      <c r="B45" s="0" t="s">
        <v>382</v>
      </c>
      <c r="C45" s="0" t="n">
        <v>109</v>
      </c>
      <c r="D45" s="0" t="n">
        <v>0</v>
      </c>
      <c r="E45" s="0" t="n">
        <f aca="false">C45*D45</f>
        <v>0</v>
      </c>
      <c r="F45" s="0" t="n">
        <f aca="false">C45+E45</f>
        <v>109</v>
      </c>
      <c r="G45" s="0" t="s">
        <v>423</v>
      </c>
      <c r="H45" s="0" t="n">
        <f aca="false">ROUNDUP(F45,0)</f>
        <v>109</v>
      </c>
      <c r="I45" s="0" t="s">
        <v>424</v>
      </c>
    </row>
    <row r="46" customFormat="false" ht="15" hidden="false" customHeight="false" outlineLevel="0" collapsed="false">
      <c r="A46" s="0" t="s">
        <v>425</v>
      </c>
      <c r="B46" s="0" t="s">
        <v>333</v>
      </c>
      <c r="C46" s="0" t="n">
        <v>10.67</v>
      </c>
      <c r="D46" s="0" t="n">
        <f aca="false">Inputs!$B$5</f>
        <v>0.15</v>
      </c>
      <c r="E46" s="0" t="n">
        <f aca="false">C46*D46</f>
        <v>1.6005</v>
      </c>
      <c r="F46" s="0" t="n">
        <f aca="false">C46+E46</f>
        <v>12.2705</v>
      </c>
      <c r="G46" s="0" t="s">
        <v>334</v>
      </c>
      <c r="H46" s="0" t="n">
        <f aca="false">ROUNDUP(F46/Inputs!$B$11,0)</f>
        <v>2</v>
      </c>
      <c r="I46" s="0" t="s">
        <v>426</v>
      </c>
    </row>
    <row r="47" customFormat="false" ht="15" hidden="false" customHeight="false" outlineLevel="0" collapsed="false">
      <c r="A47" s="0" t="s">
        <v>427</v>
      </c>
      <c r="B47" s="0" t="s">
        <v>382</v>
      </c>
      <c r="C47" s="0" t="n">
        <v>0</v>
      </c>
      <c r="D47" s="0" t="n">
        <v>0</v>
      </c>
      <c r="E47" s="0" t="n">
        <f aca="false">C47*D47</f>
        <v>0</v>
      </c>
      <c r="F47" s="0" t="n">
        <f aca="false">C47+E47</f>
        <v>0</v>
      </c>
      <c r="G47" s="0" t="s">
        <v>423</v>
      </c>
      <c r="H47" s="0" t="n">
        <f aca="false">ROUNDUP(F47,0)</f>
        <v>0</v>
      </c>
      <c r="I47" s="0" t="s">
        <v>428</v>
      </c>
    </row>
    <row r="48" customFormat="false" ht="15" hidden="false" customHeight="false" outlineLevel="0" collapsed="false">
      <c r="A48" s="0" t="s">
        <v>429</v>
      </c>
      <c r="B48" s="0" t="s">
        <v>333</v>
      </c>
      <c r="C48" s="0" t="n">
        <v>0</v>
      </c>
      <c r="D48" s="0" t="n">
        <f aca="false">Inputs!$B$5</f>
        <v>0.15</v>
      </c>
      <c r="E48" s="0" t="n">
        <f aca="false">C48*D48</f>
        <v>0</v>
      </c>
      <c r="F48" s="0" t="n">
        <f aca="false">C48+E48</f>
        <v>0</v>
      </c>
      <c r="G48" s="0" t="s">
        <v>344</v>
      </c>
      <c r="H48" s="0" t="n">
        <f aca="false">ROUNDUP(F48/Inputs!$B$10,0)</f>
        <v>0</v>
      </c>
      <c r="I48" s="0" t="s">
        <v>430</v>
      </c>
    </row>
    <row r="49" customFormat="false" ht="15" hidden="false" customHeight="false" outlineLevel="0" collapsed="false">
      <c r="A49" s="0" t="s">
        <v>431</v>
      </c>
      <c r="B49" s="0" t="s">
        <v>333</v>
      </c>
      <c r="C49" s="0" t="n">
        <v>0</v>
      </c>
      <c r="D49" s="0" t="n">
        <f aca="false">Inputs!$B$5</f>
        <v>0.15</v>
      </c>
      <c r="E49" s="0" t="n">
        <f aca="false">C49*D49</f>
        <v>0</v>
      </c>
      <c r="F49" s="0" t="n">
        <f aca="false">C49+E49</f>
        <v>0</v>
      </c>
      <c r="G49" s="0" t="s">
        <v>344</v>
      </c>
      <c r="H49" s="0" t="n">
        <f aca="false">ROUNDUP(F49/Inputs!$B$10,0)</f>
        <v>0</v>
      </c>
      <c r="I49" s="0" t="s">
        <v>432</v>
      </c>
    </row>
    <row r="50" customFormat="false" ht="15" hidden="false" customHeight="false" outlineLevel="0" collapsed="false">
      <c r="A50" s="0" t="s">
        <v>433</v>
      </c>
      <c r="B50" s="0" t="s">
        <v>366</v>
      </c>
      <c r="C50" s="0" t="n">
        <v>0</v>
      </c>
      <c r="D50" s="0" t="n">
        <f aca="false">Inputs!$B$6</f>
        <v>0.06</v>
      </c>
      <c r="E50" s="0" t="n">
        <f aca="false">C50*D50</f>
        <v>0</v>
      </c>
      <c r="F50" s="0" t="n">
        <f aca="false">C50+E50</f>
        <v>0</v>
      </c>
      <c r="G50" s="0" t="s">
        <v>367</v>
      </c>
      <c r="H50" s="0" t="n">
        <f aca="false">ROUNDUP(F50/Inputs!$B$9,0)</f>
        <v>0</v>
      </c>
      <c r="I50" s="0" t="s">
        <v>434</v>
      </c>
    </row>
    <row r="51" customFormat="false" ht="15" hidden="false" customHeight="false" outlineLevel="0" collapsed="false">
      <c r="A51" s="0" t="s">
        <v>435</v>
      </c>
      <c r="B51" s="0" t="s">
        <v>333</v>
      </c>
      <c r="C51" s="0" t="n">
        <v>0</v>
      </c>
      <c r="D51" s="0" t="n">
        <f aca="false">Inputs!$B$6</f>
        <v>0.06</v>
      </c>
      <c r="E51" s="0" t="n">
        <f aca="false">C51*D51</f>
        <v>0</v>
      </c>
      <c r="F51" s="0" t="n">
        <f aca="false">C51+E51</f>
        <v>0</v>
      </c>
      <c r="G51" s="0" t="s">
        <v>402</v>
      </c>
      <c r="H51" s="0" t="n">
        <f aca="false">ROUNDUP(F51/Inputs!$B$18,0)</f>
        <v>0</v>
      </c>
      <c r="I51" s="0" t="s">
        <v>436</v>
      </c>
    </row>
    <row r="52" customFormat="false" ht="15" hidden="false" customHeight="false" outlineLevel="0" collapsed="false">
      <c r="A52" s="0" t="s">
        <v>437</v>
      </c>
      <c r="B52" s="0" t="s">
        <v>382</v>
      </c>
      <c r="C52" s="0" t="n">
        <v>0</v>
      </c>
      <c r="D52" s="0" t="n">
        <v>0</v>
      </c>
      <c r="E52" s="0" t="n">
        <f aca="false">C52*D52</f>
        <v>0</v>
      </c>
      <c r="F52" s="0" t="n">
        <f aca="false">C52+E52</f>
        <v>0</v>
      </c>
      <c r="G52" s="0" t="s">
        <v>423</v>
      </c>
      <c r="H52" s="0" t="n">
        <f aca="false">ROUNDUP(F52,0)</f>
        <v>0</v>
      </c>
      <c r="I52" s="0" t="s">
        <v>438</v>
      </c>
    </row>
    <row r="53" customFormat="false" ht="15" hidden="false" customHeight="false" outlineLevel="0" collapsed="false">
      <c r="A53" s="0" t="s">
        <v>439</v>
      </c>
      <c r="B53" s="0" t="s">
        <v>382</v>
      </c>
      <c r="C53" s="0" t="n">
        <v>0</v>
      </c>
      <c r="D53" s="0" t="n">
        <v>0</v>
      </c>
      <c r="E53" s="0" t="n">
        <f aca="false">C53*D53</f>
        <v>0</v>
      </c>
      <c r="F53" s="0" t="n">
        <f aca="false">C53+E53</f>
        <v>0</v>
      </c>
      <c r="G53" s="0" t="s">
        <v>423</v>
      </c>
      <c r="H53" s="0" t="n">
        <f aca="false">ROUNDUP(F53,0)</f>
        <v>0</v>
      </c>
      <c r="I53" s="0" t="s">
        <v>440</v>
      </c>
    </row>
    <row r="54" customFormat="false" ht="15" hidden="false" customHeight="false" outlineLevel="0" collapsed="false">
      <c r="A54" s="0" t="s">
        <v>441</v>
      </c>
      <c r="B54" s="0" t="s">
        <v>382</v>
      </c>
      <c r="C54" s="0" t="n">
        <v>6114.04</v>
      </c>
      <c r="D54" s="0" t="n">
        <v>0</v>
      </c>
      <c r="E54" s="0" t="n">
        <f aca="false">C54*D54</f>
        <v>0</v>
      </c>
      <c r="F54" s="0" t="n">
        <f aca="false">C54+E54</f>
        <v>6114.04</v>
      </c>
      <c r="G54" s="0" t="s">
        <v>423</v>
      </c>
      <c r="H54" s="0" t="n">
        <f aca="false">ROUNDUP(F54,0)</f>
        <v>6115</v>
      </c>
      <c r="I54" s="0" t="s">
        <v>442</v>
      </c>
      <c r="J54" s="0" t="n">
        <f aca="false">Inputs!$B$20*5095.03</f>
        <v>6114.036</v>
      </c>
    </row>
    <row r="55" customFormat="false" ht="15" hidden="false" customHeight="false" outlineLevel="0" collapsed="false">
      <c r="A55" s="0" t="s">
        <v>443</v>
      </c>
      <c r="B55" s="0" t="s">
        <v>382</v>
      </c>
      <c r="C55" s="0" t="n">
        <v>1940</v>
      </c>
      <c r="D55" s="0" t="n">
        <v>0</v>
      </c>
      <c r="E55" s="0" t="n">
        <f aca="false">C55*D55</f>
        <v>0</v>
      </c>
      <c r="F55" s="0" t="n">
        <f aca="false">C55+E55</f>
        <v>1940</v>
      </c>
      <c r="G55" s="0" t="s">
        <v>423</v>
      </c>
      <c r="H55" s="0" t="n">
        <f aca="false">ROUNDUP(F55,0)</f>
        <v>1940</v>
      </c>
      <c r="I55" s="0" t="s">
        <v>444</v>
      </c>
      <c r="J55" s="0" t="n">
        <f aca="false">Inputs!$B$21*485</f>
        <v>1940</v>
      </c>
    </row>
    <row r="56" customFormat="false" ht="15" hidden="false" customHeight="false" outlineLevel="0" collapsed="false">
      <c r="A56" s="0" t="s">
        <v>445</v>
      </c>
      <c r="B56" s="0" t="s">
        <v>382</v>
      </c>
      <c r="C56" s="0" t="n">
        <v>777.43</v>
      </c>
      <c r="D56" s="0" t="n">
        <v>0</v>
      </c>
      <c r="E56" s="0" t="n">
        <f aca="false">C56*D56</f>
        <v>0</v>
      </c>
      <c r="F56" s="0" t="n">
        <f aca="false">C56+E56</f>
        <v>777.43</v>
      </c>
      <c r="G56" s="0" t="s">
        <v>423</v>
      </c>
      <c r="H56" s="0" t="n">
        <f aca="false">ROUNDUP(F56,0)</f>
        <v>778</v>
      </c>
      <c r="I56" s="0" t="s">
        <v>446</v>
      </c>
      <c r="J56" s="0" t="n">
        <f aca="false">518.29/Inputs!$B$22</f>
        <v>777.434611282694</v>
      </c>
    </row>
    <row r="57" customFormat="false" ht="15" hidden="false" customHeight="false" outlineLevel="0" collapsed="false">
      <c r="A57" s="0" t="s">
        <v>447</v>
      </c>
      <c r="B57" s="0" t="s">
        <v>382</v>
      </c>
      <c r="C57" s="0" t="n">
        <v>0</v>
      </c>
      <c r="D57" s="0" t="n">
        <v>0</v>
      </c>
      <c r="E57" s="0" t="n">
        <f aca="false">C57*D57</f>
        <v>0</v>
      </c>
      <c r="F57" s="0" t="n">
        <f aca="false">C57+E57</f>
        <v>0</v>
      </c>
      <c r="G57" s="0" t="s">
        <v>423</v>
      </c>
      <c r="H57" s="0" t="n">
        <f aca="false">ROUNDUP(F57,0)</f>
        <v>0</v>
      </c>
      <c r="I57" s="0" t="s">
        <v>448</v>
      </c>
      <c r="J57" s="0" t="n">
        <f aca="false">0*Inputs!$B$25</f>
        <v>0</v>
      </c>
    </row>
    <row r="58" customFormat="false" ht="15" hidden="false" customHeight="false" outlineLevel="0" collapsed="false">
      <c r="A58" s="0" t="s">
        <v>449</v>
      </c>
      <c r="B58" s="0" t="s">
        <v>450</v>
      </c>
      <c r="C58" s="0" t="n">
        <v>1166.54</v>
      </c>
      <c r="D58" s="0" t="n">
        <v>0</v>
      </c>
      <c r="E58" s="0" t="n">
        <f aca="false">C58*D58</f>
        <v>0</v>
      </c>
      <c r="F58" s="0" t="n">
        <f aca="false">C58+E58</f>
        <v>1166.54</v>
      </c>
      <c r="G58" s="0" t="s">
        <v>451</v>
      </c>
      <c r="H58" s="0" t="n">
        <f aca="false">ROUNDUP(F58,0)</f>
        <v>1167</v>
      </c>
      <c r="I58" s="0" t="s">
        <v>452</v>
      </c>
      <c r="J58" s="0" t="n">
        <f aca="false">Inputs!$B$23*16201.9</f>
        <v>1166.5368</v>
      </c>
    </row>
    <row r="59" customFormat="false" ht="15" hidden="false" customHeight="false" outlineLevel="0" collapsed="false">
      <c r="A59" s="0" t="s">
        <v>453</v>
      </c>
      <c r="B59" s="0" t="s">
        <v>333</v>
      </c>
      <c r="C59" s="0" t="n">
        <v>5994.7</v>
      </c>
      <c r="D59" s="0" t="n">
        <v>0</v>
      </c>
      <c r="E59" s="0" t="n">
        <f aca="false">C59*D59</f>
        <v>0</v>
      </c>
      <c r="F59" s="0" t="n">
        <f aca="false">C59+E59</f>
        <v>5994.7</v>
      </c>
      <c r="G59" s="0" t="s">
        <v>333</v>
      </c>
      <c r="H59" s="0" t="n">
        <f aca="false">ROUNDUP(F59,0)</f>
        <v>5995</v>
      </c>
      <c r="I59" s="0" t="s">
        <v>454</v>
      </c>
      <c r="J59" s="0" t="n">
        <f aca="false">Inputs!$B$24*16201.9</f>
        <v>5994.703</v>
      </c>
    </row>
    <row r="60" customFormat="false" ht="15" hidden="false" customHeight="false" outlineLevel="0" collapsed="false">
      <c r="A60" s="0" t="s">
        <v>455</v>
      </c>
      <c r="B60" s="0" t="s">
        <v>366</v>
      </c>
      <c r="C60" s="0" t="n">
        <v>0</v>
      </c>
      <c r="D60" s="0" t="n">
        <f aca="false">Inputs!$B$6</f>
        <v>0.06</v>
      </c>
      <c r="E60" s="0" t="n">
        <f aca="false">C60*D60</f>
        <v>0</v>
      </c>
      <c r="F60" s="0" t="n">
        <f aca="false">C60+E60</f>
        <v>0</v>
      </c>
      <c r="G60" s="0" t="s">
        <v>366</v>
      </c>
      <c r="H60" s="0" t="n">
        <f aca="false">ROUNDUP(F60,0)</f>
        <v>0</v>
      </c>
      <c r="I60" s="0" t="s">
        <v>456</v>
      </c>
    </row>
    <row r="61" customFormat="false" ht="15" hidden="false" customHeight="false" outlineLevel="0" collapsed="false">
      <c r="A61" s="0" t="s">
        <v>457</v>
      </c>
      <c r="B61" s="0" t="s">
        <v>382</v>
      </c>
      <c r="C61" s="0" t="n">
        <v>0</v>
      </c>
      <c r="D61" s="0" t="n">
        <v>0</v>
      </c>
      <c r="E61" s="0" t="n">
        <f aca="false">C61*D61</f>
        <v>0</v>
      </c>
      <c r="F61" s="0" t="n">
        <f aca="false">C61+E61</f>
        <v>0</v>
      </c>
      <c r="G61" s="0" t="s">
        <v>423</v>
      </c>
      <c r="H61" s="0" t="n">
        <f aca="false">ROUNDUP(F61,0)</f>
        <v>0</v>
      </c>
      <c r="I61" s="0" t="s">
        <v>458</v>
      </c>
    </row>
    <row r="62" customFormat="false" ht="15" hidden="false" customHeight="false" outlineLevel="0" collapsed="false">
      <c r="A62" s="0" t="s">
        <v>459</v>
      </c>
      <c r="B62" s="0" t="s">
        <v>382</v>
      </c>
      <c r="C62" s="0" t="n">
        <v>1776</v>
      </c>
      <c r="D62" s="0" t="n">
        <v>0</v>
      </c>
      <c r="E62" s="0" t="n">
        <f aca="false">C62*D62</f>
        <v>0</v>
      </c>
      <c r="F62" s="0" t="n">
        <f aca="false">C62+E62</f>
        <v>1776</v>
      </c>
      <c r="G62" s="0" t="s">
        <v>423</v>
      </c>
      <c r="H62" s="0" t="n">
        <f aca="false">ROUNDUP(F62,0)</f>
        <v>1776</v>
      </c>
      <c r="I62" s="0" t="s">
        <v>460</v>
      </c>
    </row>
    <row r="63" customFormat="false" ht="15" hidden="false" customHeight="false" outlineLevel="0" collapsed="false">
      <c r="A63" s="0" t="s">
        <v>461</v>
      </c>
      <c r="B63" s="0" t="s">
        <v>382</v>
      </c>
      <c r="C63" s="0" t="n">
        <v>13328.22</v>
      </c>
      <c r="D63" s="0" t="n">
        <v>0</v>
      </c>
      <c r="E63" s="0" t="n">
        <f aca="false">C63*D63</f>
        <v>0</v>
      </c>
      <c r="F63" s="0" t="n">
        <f aca="false">C63+E63</f>
        <v>13328.22</v>
      </c>
      <c r="G63" s="0" t="s">
        <v>423</v>
      </c>
      <c r="H63" s="0" t="n">
        <f aca="false">ROUNDUP(F63,0)</f>
        <v>13329</v>
      </c>
      <c r="I63" s="0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463</v>
      </c>
      <c r="B1" s="2" t="s">
        <v>464</v>
      </c>
      <c r="C1" s="2" t="s">
        <v>465</v>
      </c>
    </row>
    <row r="2" customFormat="false" ht="15" hidden="false" customHeight="false" outlineLevel="0" collapsed="false">
      <c r="A2" s="0" t="s">
        <v>466</v>
      </c>
      <c r="B2" s="0" t="s">
        <v>467</v>
      </c>
      <c r="C2" s="0" t="s">
        <v>468</v>
      </c>
    </row>
    <row r="3" customFormat="false" ht="15" hidden="false" customHeight="false" outlineLevel="0" collapsed="false">
      <c r="A3" s="0" t="s">
        <v>469</v>
      </c>
      <c r="B3" s="0" t="s">
        <v>470</v>
      </c>
      <c r="C3" s="0" t="s">
        <v>471</v>
      </c>
    </row>
    <row r="4" customFormat="false" ht="15" hidden="false" customHeight="false" outlineLevel="0" collapsed="false">
      <c r="A4" s="0" t="s">
        <v>472</v>
      </c>
      <c r="B4" s="0" t="s">
        <v>473</v>
      </c>
      <c r="C4" s="0" t="s">
        <v>474</v>
      </c>
    </row>
    <row r="5" customFormat="false" ht="15" hidden="false" customHeight="false" outlineLevel="0" collapsed="false">
      <c r="A5" s="0" t="s">
        <v>475</v>
      </c>
      <c r="B5" s="0" t="s">
        <v>476</v>
      </c>
      <c r="C5" s="0" t="s">
        <v>477</v>
      </c>
    </row>
    <row r="6" customFormat="false" ht="15" hidden="false" customHeight="false" outlineLevel="0" collapsed="false">
      <c r="A6" s="0" t="s">
        <v>478</v>
      </c>
      <c r="B6" s="0" t="s">
        <v>479</v>
      </c>
      <c r="C6" s="0" t="s">
        <v>480</v>
      </c>
    </row>
    <row r="7" customFormat="false" ht="15" hidden="false" customHeight="false" outlineLevel="0" collapsed="false">
      <c r="A7" s="0" t="s">
        <v>481</v>
      </c>
      <c r="B7" s="0" t="s">
        <v>482</v>
      </c>
      <c r="C7" s="0" t="s">
        <v>483</v>
      </c>
    </row>
    <row r="8" customFormat="false" ht="15" hidden="false" customHeight="false" outlineLevel="0" collapsed="false">
      <c r="A8" s="0" t="s">
        <v>484</v>
      </c>
      <c r="B8" s="0" t="s">
        <v>485</v>
      </c>
      <c r="C8" s="0" t="s">
        <v>486</v>
      </c>
    </row>
    <row r="9" customFormat="false" ht="15" hidden="false" customHeight="false" outlineLevel="0" collapsed="false">
      <c r="A9" s="0" t="s">
        <v>487</v>
      </c>
      <c r="B9" s="0" t="s">
        <v>488</v>
      </c>
      <c r="C9" s="0" t="s">
        <v>489</v>
      </c>
    </row>
    <row r="10" customFormat="false" ht="15" hidden="false" customHeight="false" outlineLevel="0" collapsed="false">
      <c r="A10" s="0" t="s">
        <v>490</v>
      </c>
      <c r="B10" s="0" t="s">
        <v>491</v>
      </c>
      <c r="C10" s="0" t="s">
        <v>477</v>
      </c>
    </row>
    <row r="11" customFormat="false" ht="15" hidden="false" customHeight="false" outlineLevel="0" collapsed="false">
      <c r="A11" s="0" t="s">
        <v>492</v>
      </c>
      <c r="B11" s="0" t="s">
        <v>493</v>
      </c>
      <c r="C11" s="0" t="s">
        <v>494</v>
      </c>
    </row>
    <row r="12" customFormat="false" ht="15" hidden="false" customHeight="false" outlineLevel="0" collapsed="false">
      <c r="A12" s="0" t="s">
        <v>495</v>
      </c>
      <c r="B12" s="0" t="s">
        <v>496</v>
      </c>
      <c r="C12" s="0" t="s">
        <v>497</v>
      </c>
    </row>
    <row r="13" customFormat="false" ht="15" hidden="false" customHeight="false" outlineLevel="0" collapsed="false">
      <c r="A13" s="0" t="s">
        <v>498</v>
      </c>
      <c r="B13" s="0" t="s">
        <v>499</v>
      </c>
      <c r="C13" s="0" t="s">
        <v>477</v>
      </c>
    </row>
    <row r="14" customFormat="false" ht="15" hidden="false" customHeight="false" outlineLevel="0" collapsed="false">
      <c r="A14" s="0" t="s">
        <v>500</v>
      </c>
      <c r="B14" s="0" t="s">
        <v>501</v>
      </c>
      <c r="C14" s="0" t="s">
        <v>502</v>
      </c>
    </row>
    <row r="15" customFormat="false" ht="15" hidden="false" customHeight="false" outlineLevel="0" collapsed="false">
      <c r="A15" s="0" t="s">
        <v>503</v>
      </c>
      <c r="B15" s="0" t="s">
        <v>504</v>
      </c>
      <c r="C15" s="0" t="s">
        <v>505</v>
      </c>
    </row>
    <row r="16" customFormat="false" ht="15" hidden="false" customHeight="false" outlineLevel="0" collapsed="false">
      <c r="A16" s="0" t="s">
        <v>506</v>
      </c>
      <c r="B16" s="0" t="s">
        <v>507</v>
      </c>
      <c r="C16" s="0" t="s">
        <v>508</v>
      </c>
    </row>
    <row r="17" customFormat="false" ht="15" hidden="false" customHeight="false" outlineLevel="0" collapsed="false">
      <c r="A17" s="0" t="s">
        <v>509</v>
      </c>
      <c r="B17" s="0" t="s">
        <v>510</v>
      </c>
      <c r="C17" s="0" t="s">
        <v>511</v>
      </c>
    </row>
    <row r="18" customFormat="false" ht="15" hidden="false" customHeight="false" outlineLevel="0" collapsed="false">
      <c r="A18" s="0" t="s">
        <v>512</v>
      </c>
      <c r="B18" s="0" t="s">
        <v>513</v>
      </c>
      <c r="C18" s="0" t="s">
        <v>514</v>
      </c>
    </row>
    <row r="19" customFormat="false" ht="15" hidden="false" customHeight="false" outlineLevel="0" collapsed="false">
      <c r="A19" s="0" t="s">
        <v>515</v>
      </c>
      <c r="B19" s="0" t="s">
        <v>516</v>
      </c>
      <c r="C19" s="0" t="s">
        <v>517</v>
      </c>
    </row>
    <row r="20" customFormat="false" ht="15" hidden="false" customHeight="false" outlineLevel="0" collapsed="false">
      <c r="A20" s="0" t="s">
        <v>518</v>
      </c>
      <c r="B20" s="0" t="s">
        <v>519</v>
      </c>
      <c r="C20" s="0" t="s">
        <v>520</v>
      </c>
    </row>
    <row r="21" customFormat="false" ht="15" hidden="false" customHeight="false" outlineLevel="0" collapsed="false">
      <c r="A21" s="0" t="s">
        <v>521</v>
      </c>
      <c r="B21" s="0" t="s">
        <v>522</v>
      </c>
      <c r="C21" s="0" t="s">
        <v>523</v>
      </c>
    </row>
    <row r="22" customFormat="false" ht="15" hidden="false" customHeight="false" outlineLevel="0" collapsed="false">
      <c r="A22" s="0" t="s">
        <v>524</v>
      </c>
      <c r="B22" s="0" t="s">
        <v>525</v>
      </c>
      <c r="C22" s="0" t="s">
        <v>477</v>
      </c>
    </row>
    <row r="23" customFormat="false" ht="15" hidden="false" customHeight="false" outlineLevel="0" collapsed="false">
      <c r="A23" s="0" t="s">
        <v>526</v>
      </c>
      <c r="B23" s="0" t="s">
        <v>527</v>
      </c>
      <c r="C23" s="0" t="s">
        <v>528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531</v>
      </c>
    </row>
    <row r="25" customFormat="false" ht="15" hidden="false" customHeight="false" outlineLevel="0" collapsed="false">
      <c r="A25" s="0" t="s">
        <v>532</v>
      </c>
      <c r="B25" s="0" t="s">
        <v>533</v>
      </c>
      <c r="C25" s="0" t="s">
        <v>534</v>
      </c>
    </row>
    <row r="26" customFormat="false" ht="15" hidden="false" customHeight="false" outlineLevel="0" collapsed="false">
      <c r="A26" s="0" t="s">
        <v>535</v>
      </c>
      <c r="B26" s="0" t="s">
        <v>536</v>
      </c>
      <c r="C26" s="0" t="s">
        <v>537</v>
      </c>
    </row>
    <row r="27" customFormat="false" ht="15" hidden="false" customHeight="false" outlineLevel="0" collapsed="false">
      <c r="A27" s="0" t="s">
        <v>538</v>
      </c>
      <c r="B27" s="0" t="s">
        <v>539</v>
      </c>
      <c r="C27" s="0" t="s">
        <v>540</v>
      </c>
    </row>
    <row r="28" customFormat="false" ht="15" hidden="false" customHeight="false" outlineLevel="0" collapsed="false">
      <c r="A28" s="0" t="s">
        <v>541</v>
      </c>
      <c r="B28" s="0" t="s">
        <v>542</v>
      </c>
      <c r="C28" s="0" t="s">
        <v>543</v>
      </c>
    </row>
    <row r="29" customFormat="false" ht="15" hidden="false" customHeight="false" outlineLevel="0" collapsed="false">
      <c r="A29" s="0" t="s">
        <v>544</v>
      </c>
      <c r="B29" s="0" t="s">
        <v>545</v>
      </c>
      <c r="C29" s="0" t="s">
        <v>477</v>
      </c>
    </row>
    <row r="30" customFormat="false" ht="15" hidden="false" customHeight="false" outlineLevel="0" collapsed="false">
      <c r="A30" s="0" t="s">
        <v>546</v>
      </c>
      <c r="B30" s="0" t="s">
        <v>547</v>
      </c>
      <c r="C30" s="0" t="s">
        <v>548</v>
      </c>
    </row>
    <row r="31" customFormat="false" ht="15" hidden="false" customHeight="false" outlineLevel="0" collapsed="false">
      <c r="A31" s="0" t="s">
        <v>549</v>
      </c>
      <c r="B31" s="0" t="s">
        <v>550</v>
      </c>
      <c r="C31" s="0" t="s">
        <v>551</v>
      </c>
    </row>
    <row r="32" customFormat="false" ht="15" hidden="false" customHeight="false" outlineLevel="0" collapsed="false">
      <c r="A32" s="0" t="s">
        <v>552</v>
      </c>
      <c r="B32" s="0" t="s">
        <v>553</v>
      </c>
      <c r="C32" s="0" t="s">
        <v>554</v>
      </c>
    </row>
    <row r="33" customFormat="false" ht="15" hidden="false" customHeight="false" outlineLevel="0" collapsed="false">
      <c r="A33" s="0" t="s">
        <v>555</v>
      </c>
      <c r="B33" s="0" t="s">
        <v>556</v>
      </c>
      <c r="C33" s="0" t="s">
        <v>557</v>
      </c>
    </row>
    <row r="34" customFormat="false" ht="15" hidden="false" customHeight="false" outlineLevel="0" collapsed="false">
      <c r="A34" s="0" t="s">
        <v>558</v>
      </c>
      <c r="B34" s="0" t="s">
        <v>559</v>
      </c>
      <c r="C34" s="0" t="s">
        <v>560</v>
      </c>
    </row>
    <row r="35" customFormat="false" ht="15" hidden="false" customHeight="false" outlineLevel="0" collapsed="false">
      <c r="A35" s="0" t="s">
        <v>561</v>
      </c>
      <c r="B35" s="0" t="s">
        <v>562</v>
      </c>
      <c r="C35" s="0" t="s">
        <v>563</v>
      </c>
    </row>
    <row r="36" customFormat="false" ht="15" hidden="false" customHeight="false" outlineLevel="0" collapsed="false">
      <c r="A36" s="0" t="s">
        <v>564</v>
      </c>
      <c r="B36" s="0" t="s">
        <v>565</v>
      </c>
      <c r="C36" s="0" t="s">
        <v>566</v>
      </c>
    </row>
    <row r="37" customFormat="false" ht="15" hidden="false" customHeight="false" outlineLevel="0" collapsed="false">
      <c r="A37" s="0" t="s">
        <v>567</v>
      </c>
      <c r="B37" s="0" t="s">
        <v>568</v>
      </c>
      <c r="C37" s="0" t="s">
        <v>569</v>
      </c>
    </row>
    <row r="38" customFormat="false" ht="15" hidden="false" customHeight="false" outlineLevel="0" collapsed="false">
      <c r="A38" s="0" t="s">
        <v>570</v>
      </c>
      <c r="B38" s="0" t="s">
        <v>571</v>
      </c>
      <c r="C38" s="0" t="s">
        <v>572</v>
      </c>
    </row>
    <row r="39" customFormat="false" ht="15" hidden="false" customHeight="false" outlineLevel="0" collapsed="false">
      <c r="A39" s="0" t="s">
        <v>573</v>
      </c>
      <c r="B39" s="0" t="s">
        <v>574</v>
      </c>
      <c r="C39" s="0" t="s">
        <v>575</v>
      </c>
    </row>
    <row r="40" customFormat="false" ht="15" hidden="false" customHeight="false" outlineLevel="0" collapsed="false">
      <c r="A40" s="0" t="s">
        <v>576</v>
      </c>
      <c r="B40" s="0" t="s">
        <v>577</v>
      </c>
      <c r="C40" s="0" t="s">
        <v>578</v>
      </c>
    </row>
    <row r="41" customFormat="false" ht="15" hidden="false" customHeight="false" outlineLevel="0" collapsed="false">
      <c r="A41" s="0" t="s">
        <v>579</v>
      </c>
      <c r="B41" s="0" t="s">
        <v>580</v>
      </c>
      <c r="C41" s="0" t="s">
        <v>581</v>
      </c>
    </row>
    <row r="42" customFormat="false" ht="15" hidden="false" customHeight="false" outlineLevel="0" collapsed="false">
      <c r="A42" s="0" t="s">
        <v>582</v>
      </c>
      <c r="B42" s="0" t="s">
        <v>583</v>
      </c>
      <c r="C42" s="0" t="s">
        <v>584</v>
      </c>
    </row>
    <row r="43" customFormat="false" ht="15" hidden="false" customHeight="false" outlineLevel="0" collapsed="false">
      <c r="A43" s="0" t="s">
        <v>585</v>
      </c>
      <c r="B43" s="0" t="s">
        <v>586</v>
      </c>
      <c r="C43" s="0" t="s">
        <v>587</v>
      </c>
    </row>
    <row r="44" customFormat="false" ht="15" hidden="false" customHeight="false" outlineLevel="0" collapsed="false">
      <c r="A44" s="0" t="s">
        <v>588</v>
      </c>
      <c r="B44" s="0" t="s">
        <v>589</v>
      </c>
      <c r="C44" s="0" t="s">
        <v>590</v>
      </c>
    </row>
    <row r="45" customFormat="false" ht="15" hidden="false" customHeight="false" outlineLevel="0" collapsed="false">
      <c r="A45" s="0" t="s">
        <v>591</v>
      </c>
      <c r="B45" s="0" t="s">
        <v>592</v>
      </c>
      <c r="C45" s="0" t="s">
        <v>593</v>
      </c>
    </row>
    <row r="46" customFormat="false" ht="15" hidden="false" customHeight="false" outlineLevel="0" collapsed="false">
      <c r="A46" s="0" t="s">
        <v>594</v>
      </c>
      <c r="B46" s="0" t="s">
        <v>595</v>
      </c>
      <c r="C46" s="0" t="s">
        <v>596</v>
      </c>
    </row>
    <row r="47" customFormat="false" ht="15" hidden="false" customHeight="false" outlineLevel="0" collapsed="false">
      <c r="A47" s="0" t="s">
        <v>597</v>
      </c>
      <c r="B47" s="0" t="s">
        <v>598</v>
      </c>
      <c r="C47" s="0" t="s">
        <v>599</v>
      </c>
    </row>
    <row r="48" customFormat="false" ht="15" hidden="false" customHeight="false" outlineLevel="0" collapsed="false">
      <c r="A48" s="0" t="s">
        <v>600</v>
      </c>
      <c r="B48" s="0" t="s">
        <v>601</v>
      </c>
      <c r="C48" s="0" t="s">
        <v>602</v>
      </c>
    </row>
    <row r="49" customFormat="false" ht="15" hidden="false" customHeight="false" outlineLevel="0" collapsed="false">
      <c r="A49" s="0" t="s">
        <v>603</v>
      </c>
      <c r="B49" s="0" t="s">
        <v>604</v>
      </c>
      <c r="C49" s="0" t="s">
        <v>605</v>
      </c>
    </row>
    <row r="50" customFormat="false" ht="15" hidden="false" customHeight="false" outlineLevel="0" collapsed="false">
      <c r="A50" s="0" t="s">
        <v>606</v>
      </c>
      <c r="B50" s="0" t="s">
        <v>607</v>
      </c>
      <c r="C50" s="0" t="s">
        <v>608</v>
      </c>
    </row>
    <row r="51" customFormat="false" ht="15" hidden="false" customHeight="false" outlineLevel="0" collapsed="false">
      <c r="A51" s="0" t="s">
        <v>609</v>
      </c>
      <c r="B51" s="0" t="s">
        <v>610</v>
      </c>
      <c r="C51" s="0" t="s">
        <v>611</v>
      </c>
    </row>
    <row r="52" customFormat="false" ht="15" hidden="false" customHeight="false" outlineLevel="0" collapsed="false">
      <c r="A52" s="0" t="s">
        <v>612</v>
      </c>
      <c r="B52" s="0" t="s">
        <v>613</v>
      </c>
      <c r="C52" s="0" t="s">
        <v>614</v>
      </c>
    </row>
    <row r="53" customFormat="false" ht="15" hidden="false" customHeight="false" outlineLevel="0" collapsed="false">
      <c r="A53" s="0" t="s">
        <v>615</v>
      </c>
      <c r="B53" s="0" t="s">
        <v>616</v>
      </c>
      <c r="C53" s="0" t="s">
        <v>617</v>
      </c>
    </row>
    <row r="54" customFormat="false" ht="15" hidden="false" customHeight="false" outlineLevel="0" collapsed="false">
      <c r="A54" s="0" t="s">
        <v>618</v>
      </c>
      <c r="B54" s="0" t="s">
        <v>619</v>
      </c>
      <c r="C54" s="0" t="s">
        <v>620</v>
      </c>
    </row>
    <row r="55" customFormat="false" ht="15" hidden="false" customHeight="false" outlineLevel="0" collapsed="false">
      <c r="A55" s="0" t="s">
        <v>621</v>
      </c>
      <c r="B55" s="0" t="s">
        <v>622</v>
      </c>
      <c r="C55" s="0" t="s">
        <v>623</v>
      </c>
    </row>
    <row r="56" customFormat="false" ht="15" hidden="false" customHeight="false" outlineLevel="0" collapsed="false">
      <c r="A56" s="0" t="s">
        <v>624</v>
      </c>
      <c r="B56" s="0" t="s">
        <v>625</v>
      </c>
      <c r="C56" s="0" t="s">
        <v>626</v>
      </c>
    </row>
    <row r="57" customFormat="false" ht="15" hidden="false" customHeight="false" outlineLevel="0" collapsed="false">
      <c r="A57" s="0" t="s">
        <v>627</v>
      </c>
      <c r="B57" s="0" t="s">
        <v>628</v>
      </c>
      <c r="C57" s="0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630</v>
      </c>
    </row>
    <row r="2" customFormat="false" ht="15" hidden="false" customHeight="false" outlineLevel="0" collapsed="false">
      <c r="A2" s="0" t="s">
        <v>631</v>
      </c>
      <c r="B2" s="0" t="s">
        <v>632</v>
      </c>
      <c r="C2" s="0" t="s">
        <v>633</v>
      </c>
      <c r="D2" s="0" t="s">
        <v>634</v>
      </c>
      <c r="E2" s="0" t="s">
        <v>635</v>
      </c>
      <c r="F2" s="0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637</v>
      </c>
      <c r="B1" s="0" t="s">
        <v>638</v>
      </c>
      <c r="C1" s="0" t="s">
        <v>67</v>
      </c>
      <c r="D1" s="0" t="s">
        <v>639</v>
      </c>
    </row>
    <row r="2" customFormat="false" ht="15" hidden="false" customHeight="false" outlineLevel="0" collapsed="false">
      <c r="A2" s="0" t="s">
        <v>640</v>
      </c>
      <c r="B2" s="0" t="s">
        <v>641</v>
      </c>
      <c r="C2" s="0" t="s">
        <v>642</v>
      </c>
      <c r="D2" s="0" t="s">
        <v>643</v>
      </c>
    </row>
    <row r="3" customFormat="false" ht="15" hidden="false" customHeight="false" outlineLevel="0" collapsed="false">
      <c r="A3" s="0" t="s">
        <v>644</v>
      </c>
      <c r="B3" s="0" t="s">
        <v>645</v>
      </c>
      <c r="C3" s="0" t="s">
        <v>646</v>
      </c>
      <c r="D3" s="0" t="s">
        <v>647</v>
      </c>
    </row>
    <row r="4" customFormat="false" ht="15" hidden="false" customHeight="false" outlineLevel="0" collapsed="false">
      <c r="A4" s="0" t="s">
        <v>648</v>
      </c>
      <c r="B4" s="0" t="s">
        <v>649</v>
      </c>
      <c r="C4" s="0" t="s">
        <v>646</v>
      </c>
      <c r="D4" s="0" t="s">
        <v>650</v>
      </c>
    </row>
    <row r="5" customFormat="false" ht="15" hidden="false" customHeight="false" outlineLevel="0" collapsed="false">
      <c r="A5" s="0" t="s">
        <v>651</v>
      </c>
      <c r="B5" s="0" t="s">
        <v>652</v>
      </c>
      <c r="C5" s="0" t="s">
        <v>642</v>
      </c>
      <c r="D5" s="0" t="s">
        <v>653</v>
      </c>
    </row>
    <row r="6" customFormat="false" ht="15" hidden="false" customHeight="false" outlineLevel="0" collapsed="false">
      <c r="A6" s="0" t="s">
        <v>654</v>
      </c>
      <c r="B6" s="0" t="s">
        <v>655</v>
      </c>
      <c r="C6" s="0" t="s">
        <v>463</v>
      </c>
      <c r="D6" s="0" t="s">
        <v>656</v>
      </c>
    </row>
    <row r="7" customFormat="false" ht="15" hidden="false" customHeight="false" outlineLevel="0" collapsed="false">
      <c r="A7" s="0" t="s">
        <v>657</v>
      </c>
      <c r="B7" s="0" t="s">
        <v>658</v>
      </c>
      <c r="C7" s="0" t="s">
        <v>642</v>
      </c>
      <c r="D7" s="0" t="s">
        <v>659</v>
      </c>
    </row>
    <row r="8" customFormat="false" ht="15" hidden="false" customHeight="false" outlineLevel="0" collapsed="false">
      <c r="A8" s="0" t="s">
        <v>660</v>
      </c>
      <c r="B8" s="0" t="s">
        <v>661</v>
      </c>
      <c r="C8" s="0" t="s">
        <v>642</v>
      </c>
      <c r="D8" s="0" t="s">
        <v>662</v>
      </c>
    </row>
    <row r="9" customFormat="false" ht="15" hidden="false" customHeight="false" outlineLevel="0" collapsed="false">
      <c r="A9" s="0" t="s">
        <v>663</v>
      </c>
      <c r="B9" s="0" t="s">
        <v>664</v>
      </c>
      <c r="C9" s="0" t="s">
        <v>642</v>
      </c>
      <c r="D9" s="0" t="s">
        <v>665</v>
      </c>
    </row>
    <row r="10" customFormat="false" ht="15" hidden="false" customHeight="false" outlineLevel="0" collapsed="false">
      <c r="A10" s="0" t="s">
        <v>666</v>
      </c>
      <c r="B10" s="0" t="s">
        <v>667</v>
      </c>
      <c r="C10" s="0" t="s">
        <v>646</v>
      </c>
      <c r="D10" s="0" t="s">
        <v>668</v>
      </c>
    </row>
    <row r="11" customFormat="false" ht="15" hidden="false" customHeight="false" outlineLevel="0" collapsed="false">
      <c r="A11" s="0" t="s">
        <v>669</v>
      </c>
      <c r="B11" s="0" t="s">
        <v>670</v>
      </c>
      <c r="C11" s="0" t="s">
        <v>642</v>
      </c>
      <c r="D11" s="0" t="s">
        <v>671</v>
      </c>
    </row>
    <row r="12" customFormat="false" ht="15" hidden="false" customHeight="false" outlineLevel="0" collapsed="false">
      <c r="A12" s="0" t="s">
        <v>672</v>
      </c>
      <c r="B12" s="0" t="s">
        <v>673</v>
      </c>
      <c r="C12" s="0" t="s">
        <v>642</v>
      </c>
      <c r="D12" s="0" t="s">
        <v>674</v>
      </c>
    </row>
    <row r="13" customFormat="false" ht="15" hidden="false" customHeight="false" outlineLevel="0" collapsed="false">
      <c r="A13" s="0" t="s">
        <v>675</v>
      </c>
      <c r="B13" s="0" t="s">
        <v>676</v>
      </c>
      <c r="C13" s="0" t="s">
        <v>642</v>
      </c>
      <c r="D13" s="0" t="s">
        <v>677</v>
      </c>
    </row>
    <row r="14" customFormat="false" ht="15" hidden="false" customHeight="false" outlineLevel="0" collapsed="false">
      <c r="A14" s="0" t="s">
        <v>678</v>
      </c>
      <c r="B14" s="0" t="s">
        <v>679</v>
      </c>
      <c r="C14" s="0" t="s">
        <v>642</v>
      </c>
      <c r="D14" s="0" t="s">
        <v>680</v>
      </c>
    </row>
    <row r="15" customFormat="false" ht="15" hidden="false" customHeight="false" outlineLevel="0" collapsed="false">
      <c r="A15" s="0" t="s">
        <v>681</v>
      </c>
      <c r="B15" s="0" t="s">
        <v>682</v>
      </c>
      <c r="C15" s="0" t="s">
        <v>646</v>
      </c>
      <c r="D15" s="0" t="s">
        <v>683</v>
      </c>
    </row>
    <row r="16" customFormat="false" ht="15" hidden="false" customHeight="false" outlineLevel="0" collapsed="false">
      <c r="A16" s="0" t="s">
        <v>684</v>
      </c>
      <c r="B16" s="0" t="s">
        <v>685</v>
      </c>
      <c r="C16" s="0" t="s">
        <v>642</v>
      </c>
      <c r="D16" s="0" t="s">
        <v>686</v>
      </c>
    </row>
    <row r="17" customFormat="false" ht="15" hidden="false" customHeight="false" outlineLevel="0" collapsed="false">
      <c r="A17" s="0" t="s">
        <v>687</v>
      </c>
      <c r="B17" s="0" t="s">
        <v>688</v>
      </c>
      <c r="C17" s="0" t="s">
        <v>642</v>
      </c>
      <c r="D17" s="0" t="s">
        <v>689</v>
      </c>
    </row>
    <row r="18" customFormat="false" ht="15" hidden="false" customHeight="false" outlineLevel="0" collapsed="false">
      <c r="A18" s="0" t="s">
        <v>690</v>
      </c>
      <c r="B18" s="0" t="s">
        <v>691</v>
      </c>
      <c r="C18" s="0" t="s">
        <v>463</v>
      </c>
      <c r="D18" s="0" t="s">
        <v>692</v>
      </c>
    </row>
    <row r="19" customFormat="false" ht="15" hidden="false" customHeight="false" outlineLevel="0" collapsed="false">
      <c r="A19" s="0" t="s">
        <v>693</v>
      </c>
      <c r="B19" s="0" t="s">
        <v>694</v>
      </c>
      <c r="C19" s="0" t="s">
        <v>642</v>
      </c>
      <c r="D19" s="0" t="s">
        <v>695</v>
      </c>
    </row>
    <row r="20" customFormat="false" ht="15" hidden="false" customHeight="false" outlineLevel="0" collapsed="false">
      <c r="A20" s="0" t="s">
        <v>696</v>
      </c>
      <c r="B20" s="0" t="s">
        <v>697</v>
      </c>
      <c r="C20" s="0" t="s">
        <v>646</v>
      </c>
      <c r="D20" s="0" t="s">
        <v>698</v>
      </c>
    </row>
    <row r="21" customFormat="false" ht="15" hidden="false" customHeight="false" outlineLevel="0" collapsed="false">
      <c r="A21" s="0" t="s">
        <v>699</v>
      </c>
      <c r="B21" s="0" t="s">
        <v>700</v>
      </c>
      <c r="C21" s="0" t="s">
        <v>642</v>
      </c>
      <c r="D21" s="0" t="s">
        <v>701</v>
      </c>
    </row>
    <row r="22" customFormat="false" ht="15" hidden="false" customHeight="false" outlineLevel="0" collapsed="false">
      <c r="A22" s="0" t="s">
        <v>702</v>
      </c>
      <c r="B22" s="0" t="s">
        <v>703</v>
      </c>
      <c r="C22" s="0" t="s">
        <v>646</v>
      </c>
      <c r="D22" s="0" t="s">
        <v>704</v>
      </c>
    </row>
    <row r="23" customFormat="false" ht="15" hidden="false" customHeight="false" outlineLevel="0" collapsed="false">
      <c r="A23" s="0" t="s">
        <v>705</v>
      </c>
      <c r="B23" s="0" t="s">
        <v>706</v>
      </c>
      <c r="C23" s="0" t="s">
        <v>646</v>
      </c>
      <c r="D23" s="0" t="s">
        <v>707</v>
      </c>
    </row>
    <row r="24" customFormat="false" ht="15" hidden="false" customHeight="false" outlineLevel="0" collapsed="false">
      <c r="A24" s="0" t="s">
        <v>708</v>
      </c>
      <c r="B24" s="0" t="s">
        <v>709</v>
      </c>
      <c r="C24" s="0" t="s">
        <v>646</v>
      </c>
      <c r="D24" s="0" t="s">
        <v>710</v>
      </c>
    </row>
    <row r="25" customFormat="false" ht="15" hidden="false" customHeight="false" outlineLevel="0" collapsed="false">
      <c r="A25" s="0" t="s">
        <v>711</v>
      </c>
      <c r="B25" s="0" t="s">
        <v>712</v>
      </c>
      <c r="C25" s="0" t="s">
        <v>642</v>
      </c>
      <c r="D25" s="0" t="s">
        <v>713</v>
      </c>
    </row>
    <row r="26" customFormat="false" ht="15" hidden="false" customHeight="false" outlineLevel="0" collapsed="false">
      <c r="A26" s="0" t="s">
        <v>714</v>
      </c>
      <c r="B26" s="0" t="s">
        <v>715</v>
      </c>
      <c r="C26" s="0" t="s">
        <v>646</v>
      </c>
      <c r="D26" s="0" t="s">
        <v>716</v>
      </c>
    </row>
    <row r="27" customFormat="false" ht="15" hidden="false" customHeight="false" outlineLevel="0" collapsed="false">
      <c r="A27" s="0" t="s">
        <v>717</v>
      </c>
      <c r="B27" s="0" t="s">
        <v>718</v>
      </c>
      <c r="C27" s="0" t="s">
        <v>646</v>
      </c>
      <c r="D27" s="0" t="s">
        <v>719</v>
      </c>
    </row>
    <row r="28" customFormat="false" ht="15" hidden="false" customHeight="false" outlineLevel="0" collapsed="false">
      <c r="A28" s="0" t="s">
        <v>720</v>
      </c>
      <c r="B28" s="0" t="s">
        <v>721</v>
      </c>
      <c r="C28" s="0" t="s">
        <v>646</v>
      </c>
      <c r="D28" s="0" t="s">
        <v>722</v>
      </c>
    </row>
    <row r="29" customFormat="false" ht="15" hidden="false" customHeight="false" outlineLevel="0" collapsed="false">
      <c r="A29" s="0" t="s">
        <v>723</v>
      </c>
      <c r="B29" s="0" t="s">
        <v>724</v>
      </c>
      <c r="C29" s="0" t="s">
        <v>646</v>
      </c>
      <c r="D29" s="0" t="s">
        <v>725</v>
      </c>
    </row>
    <row r="30" customFormat="false" ht="15" hidden="false" customHeight="false" outlineLevel="0" collapsed="false">
      <c r="A30" s="0" t="s">
        <v>726</v>
      </c>
      <c r="B30" s="0" t="s">
        <v>727</v>
      </c>
      <c r="C30" s="0" t="s">
        <v>463</v>
      </c>
      <c r="D30" s="0" t="s">
        <v>728</v>
      </c>
    </row>
    <row r="31" customFormat="false" ht="15" hidden="false" customHeight="false" outlineLevel="0" collapsed="false">
      <c r="A31" s="0" t="s">
        <v>729</v>
      </c>
      <c r="B31" s="0" t="s">
        <v>730</v>
      </c>
      <c r="C31" s="0" t="s">
        <v>646</v>
      </c>
      <c r="D31" s="0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732</v>
      </c>
    </row>
    <row r="2" customFormat="false" ht="15" hidden="false" customHeight="false" outlineLevel="0" collapsed="false">
      <c r="A2" s="0" t="s">
        <v>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2026-10-27T07:46:24Z</dcterms:created>
  <dc:creator>openpyxl</dc:creator>
  <dc:description/>
  <dc:language>en-US</dc:language>
  <cp:lastModifiedBy/>
  <dcterms:modified xsi:type="dcterms:W3CDTF">2026-10-27T07:46:24Z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