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<sst xmlns="http://schemas.openxmlformats.org/spreadsheetml/2006/main" count="640" uniqueCount="476">
  <si>
    <t xml:space="preserve">O'Reilly Auto Parts Store - 23rd Ave., Evans, CO #1   |   METAL FRAMING &amp; DRYWALL TAKEOFF</t>
  </si>
  <si>
    <t xml:space="preserve">Bid set: EV1 Current Conformed Set 11-20-2025 (clean copy, 81 annotations removed)   ·   2026-10-31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</si>
  <si>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</si>
  <si>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</si>
  <si>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</si>
  <si>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</si>
  <si>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</si>
  <si>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</si>
  <si>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</si>
  <si>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</si>
  <si>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</si>
  <si>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</si>
  <si>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</si>
  <si>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</si>
  <si>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</si>
  <si>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</si>
  <si>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</si>
  <si>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</si>
  <si>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</si>
  <si>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</si>
  <si>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</si>
  <si>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</si>
  <si>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</si>
  <si>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</si>
  <si>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</si>
  <si>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</si>
  <si>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</si>
  <si>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</si>
  <si>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</si>
  <si>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</si>
  <si>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</si>
  <si>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</si>
  <si>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</si>
  <si>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</si>
  <si>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</si>
  <si>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</si>
  <si>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</si>
  <si>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</si>
  <si>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</si>
  <si>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</si>
  <si>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</si>
  <si>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</si>
  <si>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</si>
  <si>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</si>
  <si>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</si>
  <si>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</si>
  <si>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</si>
  <si>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</si>
  <si>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(precedent: estimator decision 2026-10-27 on a previous project; skill standing input).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</si>
  <si>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</si>
  <si>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</si>
  <si>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</si>
  <si>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</si>
  <si>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</si>
  <si>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</si>
  <si>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</si>
  <si>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</si>
  <si>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O'Reilly Auto Parts Store - 23rd Ave., Evans, CO #1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</si>
  <si>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</si>
  <si>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</si>
  <si>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</si>
  <si>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</si>
  <si>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</si>
  <si>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</si>
  <si>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</si>
  <si>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</si>
  <si>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</si>
  <si>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</si>
  <si>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</si>
  <si>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</si>
  <si>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S21</t>
  </si>
  <si>
    <t xml:space="preserve">S21  #S21-E1  -  East facade (grid A) interior furring, Parts C 105, from the north furring face to office 102 west wall</t>
  </si>
  <si>
    <t xml:space="preserve">S21-E1</t>
  </si>
  <si>
    <t xml:space="preserve">1-1/2" Z-furring (150ZF125-18) 18 mil (25 ga) - 150ZF125-18</t>
  </si>
  <si>
    <t xml:space="preserve">East facade (grid A) interior furring, Parts C 105, from the north furring face to office 102 west wall | Board by face: A Parts Area C 105 45.35 x 14.62 ft (5/8 type X)</t>
  </si>
  <si>
    <t xml:space="preserve">S21/A1.1</t>
  </si>
  <si>
    <t xml:space="preserve">[DERIVED]</t>
  </si>
  <si>
    <t xml:space="preserve">S21  #S21-E2  -  East facade (grid A) interior furring, Break Area (between office 102 east wall and R.R. 103 west wall)</t>
  </si>
  <si>
    <t xml:space="preserve">S21-E2</t>
  </si>
  <si>
    <t xml:space="preserve">East facade (grid A) interior furring, Break Area (between office 102 east wall and R.R. 103 west wall) | Board by face: A Break Area (Parts C 105) 10.88 x 14.62 ft (5/8 type X)</t>
  </si>
  <si>
    <t xml:space="preserve">S21  #S21-N  -  North facade (grid 1) interior furring, Parts C 105 + Parts A 100, full length between E and W furring faces</t>
  </si>
  <si>
    <t xml:space="preserve">S21-N</t>
  </si>
  <si>
    <t xml:space="preserve">North facade (grid 1) interior furring, Parts C 105 + Parts A 100, full length between E and W furring faces | Board by face: B Parts Area C 105 / Parts Area A 100 84.71 x 15.51 ft (5/8 type X)</t>
  </si>
  <si>
    <t xml:space="preserve">S21  #S21-S  -  South facade (grid 4) interior furring, Parts B 101 / Parts C 105, from R.R. 104 south wall to the west furring face</t>
  </si>
  <si>
    <t xml:space="preserve">S21-S</t>
  </si>
  <si>
    <t xml:space="preserve">South facade (grid 4) interior furring, Parts B 101 / Parts C 105, from R.R. 104 south wall to the west furring face | Board by face: A Parts Area B 101 / Parts Area C 105 75.64 x 15.51 ft (5/8 type X)</t>
  </si>
  <si>
    <t xml:space="preserve">S21  #S21-W1  -  West facade (grid C) interior furring, Parts A 100, from the north furring face to the left entry pier</t>
  </si>
  <si>
    <t xml:space="preserve">S21-W1</t>
  </si>
  <si>
    <t xml:space="preserve">West facade (grid C) interior furring, Parts A 100, from the north furring face to the left entry pier | Board by face: B Parts Area A 100 9.22 x 16.4 ft (5/8 type X)</t>
  </si>
  <si>
    <t xml:space="preserve">S21  #S21-W2  -  West facade (grid C) interior furring, Parts B 101, from the right entry pier (concealed column, key note 1) to the south furring face</t>
  </si>
  <si>
    <t xml:space="preserve">S21-W2</t>
  </si>
  <si>
    <t xml:space="preserve">West facade (grid C) interior furring, Parts B 101, from the right entry pier (concealed column, key note 1) to the south furring face | Board by face: B Parts Area B 101 24.91 x 16.4 ft (5/8 type X)</t>
  </si>
  <si>
    <t xml:space="preserve">SUBTOTAL TYPE S21</t>
  </si>
  <si>
    <t xml:space="preserve">TYPE S24</t>
  </si>
  <si>
    <t xml:space="preserve">S24  #S24-OFF  -  Office 102 east-facade wall (furring + stud lining), between office west and east walls</t>
  </si>
  <si>
    <t xml:space="preserve">S24-OFF</t>
  </si>
  <si>
    <t xml:space="preserve">3-5/8" 33 mil (20 ga) - 362S162-33</t>
  </si>
  <si>
    <t xml:space="preserve">Office 102 east-facade wall (furring + stud lining), between office west and east walls</t>
  </si>
  <si>
    <t xml:space="preserve">S24/A1.1</t>
  </si>
  <si>
    <t xml:space="preserve">[CONFIRMED]</t>
  </si>
  <si>
    <t xml:space="preserve">S24  #S24-RR  -  R.R. 103 + R.R. 104 east-facade wall (one line, two S24 tags), from R.R. 103 west wall to the south-facade S24</t>
  </si>
  <si>
    <t xml:space="preserve">S24-RR</t>
  </si>
  <si>
    <t xml:space="preserve">R.R. 103 + R.R. 104 east-facade wall (one line, two S24 tags), from R.R. 103 west wall to the south-facade S24</t>
  </si>
  <si>
    <t xml:space="preserve">S24  #S24-RR104S  -  R.R. 104 south-facade wall (furring + stud lining), horizontal S24 tag</t>
  </si>
  <si>
    <t xml:space="preserve">S24-RR104S</t>
  </si>
  <si>
    <t xml:space="preserve">R.R. 104 south-facade wall (furring + stud lining), horizontal S24 tag</t>
  </si>
  <si>
    <t xml:space="preserve">SUBTOTAL TYPE S24</t>
  </si>
  <si>
    <t xml:space="preserve">TYPE S41</t>
  </si>
  <si>
    <t xml:space="preserve">S41  #S41-B-H  -  Showroom corner box-out at the north wall / S42 corner (key note 5), leg parallel to S42</t>
  </si>
  <si>
    <t xml:space="preserve">S41-B-H</t>
  </si>
  <si>
    <t xml:space="preserve">Showroom corner box-out at the north wall / S42 corner (key note 5), leg parallel to S42 | Board by face: A Parts Area A 100 1.31 x 12 ft (5/8 type X)</t>
  </si>
  <si>
    <t xml:space="preserve">4/A4.2</t>
  </si>
  <si>
    <t xml:space="preserve">S41  #S41-B-V  -  Showroom corner box-out at the north wall / S42 corner (key note 5), leg parallel to the north wall</t>
  </si>
  <si>
    <t xml:space="preserve">S41-B-V</t>
  </si>
  <si>
    <t xml:space="preserve">Showroom corner box-out at the north wall / S42 corner (key note 5), leg parallel to the north wall | Board by face: B Parts Area A 100 2.17 x 12 ft (5/8 type X)</t>
  </si>
  <si>
    <t xml:space="preserve">S41  #S41-C-H  -  Showroom corner box-out at the north/west corner (key note 5), leg parallel to the west wall</t>
  </si>
  <si>
    <t xml:space="preserve">S41-C-H</t>
  </si>
  <si>
    <t xml:space="preserve">Showroom corner box-out at the north/west corner (key note 5), leg parallel to the west wall | Board by face: B Parts Area A 100 1.31 x 12 ft (5/8 type X)</t>
  </si>
  <si>
    <t xml:space="preserve">S41  #S41-C-V  -  Showroom corner box-out at the north/west corner (key note 5), leg parallel to the north wall</t>
  </si>
  <si>
    <t xml:space="preserve">S41-C-V</t>
  </si>
  <si>
    <t xml:space="preserve">Showroom corner box-out at the north/west corner (key note 5), leg parallel to the north wall | Board by face: B Parts Area A 100 1.67 x 12 ft (5/8 type X)</t>
  </si>
  <si>
    <t xml:space="preserve">SUBTOTAL TYPE S41</t>
  </si>
  <si>
    <t xml:space="preserve">TYPE S42</t>
  </si>
  <si>
    <t xml:space="preserve">S42  #S42-H1+S42-H2  -  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</t>
  </si>
  <si>
    <t xml:space="preserve">S42-H1+S42-H2</t>
  </si>
  <si>
    <t xml:space="preserve">Parts A 100 / Parts C 105 demising wall near grid B, floor-supported full-height part (hatched), north wall to the gypsum board joint 2/A4.2 + S42 suspended header wall near grid B (non-hatched double line), joint 2/A4.2 east to the free end past the S42 vertical wall; OFCI sales counters / fixtures below (14/A4.1) | Board by face: S42-H1 A Parts Area A 100 38.67 x 12 ft (5/8 type X); S42-H1 B Parts Area C 105 38.67 x 15.17 ft (5/8 type X); S42-H2 A Parts Area A 100 18.69 x 5.17 ft (5/8 type X); S42-H2 A Parts Area B 101 6.75 x 8.34 ft (5/8 type X); S42-H2 B Parts Area C 105 25.44 x 8.34 ft (5/8 type X)</t>
  </si>
  <si>
    <t xml:space="preserve">5/A4.2; 6/A4.2</t>
  </si>
  <si>
    <t xml:space="preserve">S42  #S42-V1+S42-V2  -  S42 suspended header wall between Parts A 100 and Parts B 101 (non-hatched double line), from S42-H2 down to the joint 2/A4.2 + S42 floor-supported full-height part (hatched) between Parts A 100 and Parts B 101, joint 2/A4.2 to the right entry pier (west facade)</t>
  </si>
  <si>
    <t xml:space="preserve">S42-V1+S42-V2</t>
  </si>
  <si>
    <t xml:space="preserve">S42 suspended header wall between Parts A 100 and Parts B 101 (non-hatched double line), from S42-H2 down to the joint 2/A4.2 + S42 floor-supported full-height part (hatched) between Parts A 100 and Parts B 101, joint 2/A4.2 to the right entry pier (west facade) | Board by face: S42-V1 A Parts Area A 100 50.33 x 5.17 ft (5/8 type X); S42-V1 B Parts Area B 101 50.33 x 8.87 ft (5/8 type X); S42-V2 A Parts Area A 100 8.17 x 12 ft (5/8 type X); S42-V2 B Parts Area B 101 8.17 x 16.31 ft (5/8 type X)</t>
  </si>
  <si>
    <t xml:space="preserve">6/A4.2; 5/A4.2</t>
  </si>
  <si>
    <t xml:space="preserve">SUBTOTAL TYPE S42</t>
  </si>
  <si>
    <t xml:space="preserve">TYPE S43</t>
  </si>
  <si>
    <t xml:space="preserve">S43  #S43-OFF-E  -  Office 102 east wall (Break Area side)</t>
  </si>
  <si>
    <t xml:space="preserve">S43-OFF-E</t>
  </si>
  <si>
    <t xml:space="preserve">Office 102 east wall (Break Area side) | Board by face: A Office 102 8.66 x 8.5 ft (5/8 type X); B Break Area (Parts C 105) 8.66 x 9 ft (5/8 type X)</t>
  </si>
  <si>
    <t xml:space="preserve">S43/A1.1</t>
  </si>
  <si>
    <t xml:space="preserve">S43  #S43-OFF-S  -  Office 102 south wall with door 4 (between the office west and east walls)</t>
  </si>
  <si>
    <t xml:space="preserve">S43-OFF-S</t>
  </si>
  <si>
    <t xml:space="preserve">Office 102 south wall with door 4 (between the office west and east walls) | Board by face: A Parts Area C 105 11 x 9 ft (5/8 type X); B Office 102 11 x 8.5 ft (5/8 type X)</t>
  </si>
  <si>
    <t xml:space="preserve">S43  #S43-OFF-W  -  Office 102 west wall (Parts C side)</t>
  </si>
  <si>
    <t xml:space="preserve">S43-OFF-W</t>
  </si>
  <si>
    <t xml:space="preserve">Office 102 west wall (Parts C side) | Board by face: A Parts Area C 105 8.64 x 9 ft (5/8 type X); B Office 102 8.64 x 8.5 ft (5/8 type X)</t>
  </si>
  <si>
    <t xml:space="preserve">S43  #S43-RR103-W  -  R.R. 103 west wall (alcove / Break Area side)</t>
  </si>
  <si>
    <t xml:space="preserve">S43-RR103-W</t>
  </si>
  <si>
    <t xml:space="preserve">R.R. 103 west wall (alcove / Break Area side) | Board by face: A Break Area (Parts C 105) 9.11 x 9 ft (5/8 type X); B R.R. 103 9.11 x 8.5 ft (5/8 type X WR)</t>
  </si>
  <si>
    <t xml:space="preserve">S43  #S43-RR-S  -  R.R. 103 + R.R. 104 south (Parts C) wall, one line with two S43 tags, doors 5 and 6</t>
  </si>
  <si>
    <t xml:space="preserve">S43-RR-S</t>
  </si>
  <si>
    <t xml:space="preserve">R.R. 103 + R.R. 104 south (Parts C) wall, one line with two S43 tags, doors 5 and 6 | Board by face: A Parts Area C 105 16.17 x 9 ft (5/8 type X); B R.R. 103 8.08 x 8.5 ft (5/8 type X WR); B R.R. 104 8.08 x 8.5 ft (5/8 type X WR)</t>
  </si>
  <si>
    <t xml:space="preserve">SUBTOTAL TYPE S43</t>
  </si>
  <si>
    <t xml:space="preserve">TYPE S61</t>
  </si>
  <si>
    <t xml:space="preserve">S61  #S61-RR  -  R.R. 103 / R.R. 104 common wall (6" plumbing wall)</t>
  </si>
  <si>
    <t xml:space="preserve">S61-RR</t>
  </si>
  <si>
    <t xml:space="preserve">6" 33 mil (20 ga) - 600S162-33</t>
  </si>
  <si>
    <t xml:space="preserve">R.R. 103 / R.R. 104 common wall (6" plumbing wall)</t>
  </si>
  <si>
    <t xml:space="preserve">S61/A1.1</t>
  </si>
  <si>
    <t xml:space="preserve">SUBTOTAL TYPE S61</t>
  </si>
  <si>
    <t xml:space="preserve">TYPE EXT-8CFMF</t>
  </si>
  <si>
    <t xml:space="preserve">EXT-8CFMF  #EXT-PIER-L-8+EXT-HEAD-8+EXT-PIER-R-8  -  West facade left (north) entry pier at 1/A3.1, inner 8" stud row (7/A3.2) + West facade head wall over storefront A (18'-8" + 8'-0" vestibule + 12'-0"), inner 8" row + West facade right (south) entry pier at 2/A3.1, inner 8" stud row (7/A3.2)</t>
  </si>
  <si>
    <t xml:space="preserve">EXT-PIER-L-8+EXT-HEAD-8+EXT-PIER-R-8</t>
  </si>
  <si>
    <t xml:space="preserve">8" 54 mil (16 ga) - 800S162-54</t>
  </si>
  <si>
    <t xml:space="preserve">West facade left (north) entry pier at 1/A3.1, inner 8" stud row (7/A3.2) + West facade head wall over storefront A (18'-8" + 8'-0" vestibule + 12'-0"), inner 8" row + West facade right (south) entry pier at 2/A3.1, inner 8" stud row (7/A3.2) | Board by face: EXT-PIER-L-8 B Parts Area A 100 6 x 16.4 ft (5/8 type X); EXT-HEAD-8 B Parts Area A 100 30.67 x 5.06 ft (5/8 type X); EXT-HEAD-8 B Vestibule 100A (above the C-3 ceiling) 8 x 0 ft (5/8 type X); EXT-PIER-R-8 B Parts Area A 100 6 x 16.4 ft (5/8 type X)</t>
  </si>
  <si>
    <t xml:space="preserve">1/A3.1; 3/A3.1</t>
  </si>
  <si>
    <t xml:space="preserve">SUBTOTAL TYPE EXT-8CFMF</t>
  </si>
  <si>
    <t xml:space="preserve">TYPE EXT-6CFMF</t>
  </si>
  <si>
    <t xml:space="preserve">EXT-6CFMF  #EXT-PIER-L-6+EXT-HEAD-6+EXT-PIER-R-6  -  West facade left (north) entry pier at 1/A3.1, outer 6" stud row (7/A3.2) + West facade head wall over storefront A, outer 6" row + West facade right (south) entry pier at 2/A3.1, outer 6" stud row (7/A3.2)</t>
  </si>
  <si>
    <t xml:space="preserve">EXT-PIER-L-6+EXT-HEAD-6+EXT-PIER-R-6</t>
  </si>
  <si>
    <t xml:space="preserve">6" 54 mil (16 ga) - 600S162-54</t>
  </si>
  <si>
    <t xml:space="preserve">West facade left (north) entry pier at 1/A3.1, outer 6" stud row (7/A3.2) + West facade head wall over storefront A, outer 6" row + West facade right (south) entry pier at 2/A3.1, outer 6" stud row (7/A3.2)</t>
  </si>
  <si>
    <t xml:space="preserve">EXT-6CFMF  #EXT-SOUTH-BAND  -  South facade stucco band over windows D1/D2 (studs outside the CMU, window lintel to T.O. masonry)</t>
  </si>
  <si>
    <t xml:space="preserve">EXT-SOUTH-BAND</t>
  </si>
  <si>
    <t xml:space="preserve">6" 43 mil (18 ga) - 600S162-43</t>
  </si>
  <si>
    <t xml:space="preserve">South facade stucco band over windows D1/D2 (studs outside the CMU, window lintel to T.O. masonry)</t>
  </si>
  <si>
    <t xml:space="preserve">1/A3.4</t>
  </si>
  <si>
    <t xml:space="preserve">SUBTOTAL TYPE EXT-6CFMF</t>
  </si>
  <si>
    <t xml:space="preserve">TOTAL - PARTITIONS (GRAND TOTAL)</t>
  </si>
  <si>
    <t xml:space="preserve">TYPE OTHER FRAMING (NOT A PARTITION)</t>
  </si>
  <si>
    <t xml:space="preserve">vestibule_head  #VEST-HD-C  -  Vestibule 100A head wall above storefront C (vestibule interior front), to the roof</t>
  </si>
  <si>
    <t xml:space="preserve">VEST-HD-C</t>
  </si>
  <si>
    <t xml:space="preserve">Vestibule 100A head wall above storefront C (vestibule interior front), to the roof</t>
  </si>
  <si>
    <t xml:space="preserve">3/A3.1</t>
  </si>
  <si>
    <t xml:space="preserve">vestibule_head  #VEST-HD-B2  -  Vestibule 100A head wall above storefront B2 (vestibule north side), to the roof</t>
  </si>
  <si>
    <t xml:space="preserve">VEST-HD-B2</t>
  </si>
  <si>
    <t xml:space="preserve">Vestibule 100A head wall above storefront B2 (vestibule north side), to the roof</t>
  </si>
  <si>
    <t xml:space="preserve">vestibule_head  #VEST-HD-B1  -  Vestibule 100A head wall above storefront B1 (vestibule south side), to the roof</t>
  </si>
  <si>
    <t xml:space="preserve">VEST-HD-B1</t>
  </si>
  <si>
    <t xml:space="preserve">Vestibule 100A head wall above storefront B1 (vestibule south side), to the roof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</si>
  <si>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</si>
  <si>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</si>
  <si>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</si>
  <si>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</si>
  <si>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</si>
  <si>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</si>
  <si>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</si>
  <si>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</si>
  <si>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</si>
  <si>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</si>
  <si>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</si>
  <si>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</si>
  <si>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</si>
  <si>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</si>
  <si>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</si>
  <si>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not applicable (see note) | Breakdown [DERIVED]: S24-OFF 11 + S24-RR 16.17 + S24-RR104S 8.5 + S43-OFF-W 8.64 + S43-OFF-E 8.66 + S43-OFF-S 11 + S43-RR103-W 9.11 + S43-RR-S 16.17 + S41-B-V 2.17 + S41-B-H 1.31 + S41-C-V 1.67 + S41-C-H 1.31 + S42-H1 38.67 + S42-H2 25.44 + S42-V1 50.33 + S42-V2 8.17 = 218.32 LF (wall length x rows) | Track gauge = stud gauge of each wall: 33 mil (20 ga) - 362S162-33 218.32 LF</t>
  </si>
  <si>
    <t xml:space="preserve">Bottom track 6"</t>
  </si>
  <si>
    <t xml:space="preserve">N/SHEET: not applicable (see note) | Breakdown [DERIVED]: S61-RR 8.5 + EXT-PIER-L-6 6 + EXT-PIER-R-6 6 + EXT-HEAD-6 38.67 + EXT-SOUTH-BAND 36 = 95.17 LF (wall length x rows) | Track gauge = stud gauge of each wall: 33 mil (20 ga) - 600S162-33 8.5 LF; 54 mil (16 ga) - 600S162-54 50.67 LF; 43 mil (18 ga) - 600S162-43 36 LF</t>
  </si>
  <si>
    <t xml:space="preserve">Bottom track 8"</t>
  </si>
  <si>
    <t xml:space="preserve">N/SHEET: not applicable (see note) | Breakdown [DERIVED]: EXT-PIER-L-8 6 + EXT-PIER-R-8 6 + EXT-HEAD-8 38.67 = 50.67 LF (wall length x rows) | Track gauge = stud gauge of each wall: 54 mil (16 ga) - 800S162-54 50.67 LF</t>
  </si>
  <si>
    <t xml:space="preserve">Bottom track - roof step and heads (vestibule / bulkhead)</t>
  </si>
  <si>
    <t xml:space="preserve">N/SHEET: not applicable (see note) | Breakdown [DERIVED]: VEST-HD-C 8.49 + VEST-HD-B2 6.04 + VEST-HD-B1 6.04 = 20.57 LF (wall length x rows) | Track gauge = stud gauge of each wall: 54 mil (16 ga) - 600S162-54 20.57 LF</t>
  </si>
  <si>
    <t xml:space="preserve">Top / deflection track 3-5/8"</t>
  </si>
  <si>
    <t xml:space="preserve">N/SHEET: not applicable (see note) | Breakdown [DERIVED]: S24-OFF 11 + S24-RR 16.17 + S24-RR104S 8.5 + S43-OFF-W 8.64 + S43-OFF-E 8.66 + S43-OFF-S 11 + S43-RR103-W 9.11 + S43-RR-S 16.17 + S41-B-V 2.17 + S41-B-H 1.31 + S41-C-V 1.67 + S41-C-H 1.31 + S42-H2 25.44 + S42-V1 50.33 = 171.48 LF (wall length x rows) | Track gauge = stud gauge of each wall: 33 mil (20 ga) - 362S162-33 171.48 LF</t>
  </si>
  <si>
    <t xml:space="preserve">Top / deflection track 6"</t>
  </si>
  <si>
    <t xml:space="preserve">Top / deflection track 8"</t>
  </si>
  <si>
    <t xml:space="preserve">Top track - roof step and heads (vestibule / bulkhead)</t>
  </si>
  <si>
    <t xml:space="preserve">1-1/2" Z-furring channel (LF of material)</t>
  </si>
  <si>
    <t xml:space="preserve">hat channel 12 ft</t>
  </si>
  <si>
    <t xml:space="preserve">N/SHEET: not applicable (see note) | pieces ROUNDUP(L / 2) + 1: S24-OFF 11.0 -&gt; 7, S24-RR 16.17 -&gt; 10 (grid A, T.O. low eave 14.625 ft, 2/A3.2); S24-RR104S 8.5 -&gt; 6 (grid 4 near grid A, 14.71 ft by the 1/4:12 slope); top of furring not printed -&gt; eave (53.3, RFI-02); 17 x 14.625 + 6 x 14.71 = 248.63 + 88.26 = 336.89 LF</t>
  </si>
  <si>
    <t xml:space="preserve">8" stud (all gauges)</t>
  </si>
  <si>
    <t xml:space="preserve">stick 20 ft</t>
  </si>
  <si>
    <t xml:space="preserve">N/SHEET: not applicable (see note) | Breakdown [DERIVED]: EXT-PIER-L-8 124 + EXT-PIER-R-8 124 + EXT-HEAD-8 289.32 = 537.32 LF (per wall: field + jambs + nodes + cripples x height; plus listed elements) | By gauge (stud gauge of each wall, from its type / stud schedule): 54 mil (16 ga) - 800S162-54 537.32 LF</t>
  </si>
  <si>
    <t xml:space="preserve">6" metal stud (LF of material)</t>
  </si>
  <si>
    <t xml:space="preserve">N/SHEET: not applicable (see note) | Breakdown [DERIVED]: S61-RR 68 + EXT-PIER-L-6 124 + EXT-PIER-R-6 124 + EXT-HEAD-6 289.32 + EXT-SOUTH-BAND 223.13 + VEST-HD-C 40.17 + VEST-HD-B2 25.11 + VEST-HD-B1 25.11 + JOISTS-OFFICE-RR 150 + JOISTS-VESTIBULE 36.25 = 1,105.09 LF (per wall: field + jambs + nodes + cripples x height; plus listed elements) | By gauge (stud gauge of each wall, from its type / stud schedule): 33 mil (20 ga) - 600S162-33 68 LF; 54 mil (16 ga) - 600S162-54 627.71 LF; 43 mil (18 ga) - 600S162-43 223.13 LF; elements (gauge in their operation) 186.25 LF</t>
  </si>
  <si>
    <t xml:space="preserve">3-5/8" metal stud (LF of material)</t>
  </si>
  <si>
    <t xml:space="preserve">N/SHEET: not applicable (see note) | Breakdown [DERIVED]: S24-OFF 76.5 + S24-RR 102 + S24-RR104S 51 + S43-OFF-W 59.5 + S43-OFF-E 59.5 + S43-OFF-S 86.33 + S43-RR103-W 59.5 + S43-RR-S 147.17 + S41-B-V 60 + S41-B-H 36 + S41-C-V 48 + S41-C-H 36 + S42-H1 333.81 + S42-H2 116.76 + S42-V1 248.25 + S42-V2 97.85 + KICK-S42-H2 56.57 + KICK-S42-V1 98.99 + STRUT-S42-HDR 75.78 + ANGLED-STRUT-S42-HDR 64 + STUD-TIES-ENTRY 238.07 + CJ-DOUBLE-STUDS 62.96 = 2,214.54 LF (per wall: field + jambs + nodes + cripples x height; plus listed elements) | By gauge (stud gauge of each wall, from its type / stud schedule): 33 mil (20 ga) - 362S162-33 1,618.17 LF; elements (gauge in their operation) 596.37 LF</t>
  </si>
  <si>
    <t xml:space="preserve">Bracing 1-1/2" C.R. channel @ 48" O.C.</t>
  </si>
  <si>
    <t xml:space="preserve">C.R. channel 16 ft</t>
  </si>
  <si>
    <t xml:space="preserve">N/SHEET: not applicable (see note) | Breakdown [DERIVED]: S24-OFF 22 + S24-RR 32.33 + S24-RR104S 17 + S43-OFF-W 17.28 + S43-OFF-E 17.33 + S43-OFF-S 22 + S43-RR103-W 18.21 + S43-RR-S 32.33 + S61-RR 17 + S41-B-V 4.33 + S41-B-H 2.63 + S41-C-V 3.33 + S41-C-H 2.63 + S42-H1 116 + S42-H2 50.89 + S42-V1 100.67 + S42-V2 32.67 + EXT-PIER-L-8 30 + EXT-PIER-L-6 30 + EXT-PIER-R-8 30 + EXT-PIER-R-6 30 + EXT-HEAD-8 77.33 + EXT-HEAD-6 77.33 + EXT-SOUTH-BAND 36 + VEST-HD-C 8.49 + VEST-HD-B2 6.04 + VEST-HD-B1 6.04 = 839.86 LF (rows = ROUNDUP(H x 12 / 48) - 1, x length)</t>
  </si>
  <si>
    <t xml:space="preserve">Header / metal stud box beam</t>
  </si>
  <si>
    <t xml:space="preserve">N/SHEET: not applicable (see note)</t>
  </si>
  <si>
    <t xml:space="preserve">5/8" glass mat sheathing (exterior face of the stud)</t>
  </si>
  <si>
    <t xml:space="preserve">SF</t>
  </si>
  <si>
    <t xml:space="preserve">4x12 ft sheet (Inputs)</t>
  </si>
  <si>
    <t xml:space="preserve">N/SHEET: not applicable (see note) | Breakdown [DERIVED]: GLASSMAT-ENTRY 248 + GLASSMAT-SOUTH 286.88 = 534.88 SF | piers 2 x 6.0 x 20.667 = 248.0 SF (1/A3.1 key 19). Head wall over storefront A excluded: 2/A3.1 shows key 34 5/8" exterior FRT plywood sheathing on that face, not key 19 (double reading resolution R-06); 36.0 x 7.969 = 286.88 SF</t>
  </si>
  <si>
    <t xml:space="preserve">Blocking FRT / 2X FRT wood</t>
  </si>
  <si>
    <t xml:space="preserve">2x lumber 16 ft</t>
  </si>
  <si>
    <t xml:space="preserve">N/SHEET: not applicable (see note) | Breakdown [DERIVED]: BLK-S42-HDR-NAILERS 151.55 + BLK-RR-ACCESSORIES 38 + BLK-WATER-HEATER 4 + BLK-TOP-NAILERS-FRONT 101.34 + BLK-CMU-OPENINGS 92.86 = 387.75 LF</t>
  </si>
  <si>
    <t xml:space="preserve">5/8" gypsum board, Type X</t>
  </si>
  <si>
    <t xml:space="preserve">N/SHEET: not applicable (see note) | Breakdown [DERIVED]: S21-N 1,313.91 + S21-E1 663.19 + S21-E2 159.15 + S21-S 1,173.25 + S21-W1 151.17 + S21-W2 408.44 + S24-OFF 93.5 + S43-OFF-W 151.24 + S43-OFF-E 151.62 + S43-OFF-S 192.5 + S43-RR103-W 81.95 + S43-RR-S 145.5 + S41-B-V 26 + S41-B-H 15.76 + S41-C-V 20 + S41-C-H 15.76 + S42-H1 1,050.69 + S42-H2 365.08 + S42-V1 706.32 + S42-V2 231.2 + EXT-PIER-L-8 98.38 + EXT-PIER-R-8 98.38 + EXT-HEAD-8 155.27 + VEST-HD-C 42.62 + VEST-HD-B2 30.34 + VEST-HD-B1 30.34 + CLG-GWB-OFFICE-VEST 139.28 + GB-S42-HDR-UNDERSIDE 30.76 = 7,741.6 SF (faces: length x face height x layers - openings; ceilings: RCP area)</t>
  </si>
  <si>
    <t xml:space="preserve">5/8" gypsum board, Type X W.R. (water resistant)</t>
  </si>
  <si>
    <t xml:space="preserve">N/SHEET: not applicable (see note) | Breakdown [DERIVED]: S24-RR 137.42 + S24-RR104S 72.25 + S43-RR103-W 77.4 + S43-RR-S 137.42 + S61-RR 144.5 + CLG-GWB-RR 133.16 = 702.15 SF (faces: length x face height x layers - openings; ceilings: RCP area)</t>
  </si>
  <si>
    <t xml:space="preserve">Deep-leg slotted deflection track - printed product (see Where it comes from)</t>
  </si>
  <si>
    <t xml:space="preserve">N/SHEET: not applicable (see note) | Breakdown [DERIVED]: DL-TRACK-S42 46.83 = 46.83 LF | floor-supported S42 walls to the purlins (S4.1 key plan cuts 3/S5.1, 4/S5.1): S42-H1 38.67 + S42-V2 8.17 = 46.83 LF</t>
  </si>
  <si>
    <t xml:space="preserve">Sheathing screws - printed product and spacing (see Where it comes from)</t>
  </si>
  <si>
    <t xml:space="preserve">PCS</t>
  </si>
  <si>
    <t xml:space="preserve">piece</t>
  </si>
  <si>
    <t xml:space="preserve">N/SHEET: not applicable (see note) | Breakdown [DERIVED]: SHEATHING-SCREWS-EXT 1,058 = 1,058 PCS | exterior sheathing on studs @ 16" O.C.: (12/16 lines per ft) x (12/8 screws per ft) = 1.125 / SF x (glass mat 534.88 + FRT plywood 360.79 + 45.12 = 940.79 SF) = 1,058</t>
  </si>
  <si>
    <t xml:space="preserve">Framing clips per stud - printed product (see Where it comes from)</t>
  </si>
  <si>
    <t xml:space="preserve">N/SHEET: not applicable (see note) | Breakdown [DERIVED]: FCB43.5-CLIPS 144 = 144 PCS | 1/S5.3 south panel 600S162-43: studs ROUNDUP(36.0 / 1.333) + 1 = 28 x 3 clips drawn (top / middle / bottom, @ 48") = 84; 3/S5.3 head wall: studs ROUNDUP(38.67 / 1.333) + 1 = 30 x 2 wind beams = 60; 84 + 60 = 144 clips (fasteners per clip as labelled)</t>
  </si>
  <si>
    <t xml:space="preserve">Metal stud blocking at wall-mounted items (notes)</t>
  </si>
  <si>
    <t xml:space="preserve">N/SHEET: not applicable (see note) | Breakdown [DERIVED]: BLK-FIRE-EXT 6 = 6 LF | 6.0 LF</t>
  </si>
  <si>
    <t xml:space="preserve">METAL trim - corner bead, casing bead, shadow molding, gypsum edge trim</t>
  </si>
  <si>
    <t xml:space="preserve">trim stick 10 ft</t>
  </si>
  <si>
    <t xml:space="preserve">N/SHEET: not applicable (see note) | Breakdown [DERIVED]: Corner bead - office 102 / restrooms hard-lid top edge 54.38 + Control joint reveal DRMF-625-75 + JDM-625 at S42 joint near grid B 27.58 + Control joint reveal DRMF-625-75 + JDM-625 at S42 joint near the west wall 28.71 + jamb returns 72.38 = 183.05 LF</t>
  </si>
  <si>
    <t xml:space="preserve">FRT plywood substrate (5/8 in.)</t>
  </si>
  <si>
    <t xml:space="preserve">N/SHEET: not applicable (see note) | Breakdown [DERIVED]: FRT-BOX-B 7.67 + FRT-BOX-C 6.67 + FRT-EXT-HEAD-SOFFIT 45.12 + EXT-W-HEAD-FRT 360.79 = 420.25 SF (strip length x height)</t>
  </si>
  <si>
    <t xml:space="preserve">Additional head track at openings over 4'-0" wide</t>
  </si>
  <si>
    <t xml:space="preserve">N/SHEET: not applicable (see note) | Door 3 (S21-N): (6.0 + 2 x 0.667) x 1 = 7.33; Window D1 (S21-S): (11.365 + 2 x 0.667) x 1 = 12.7; Window D2 (S21-S): (11.365 + 2 x 0.667) x 1 = 12.7</t>
  </si>
  <si>
    <t xml:space="preserve">Stud reinforcement at MEP penetrations</t>
  </si>
  <si>
    <t xml:space="preserve">each</t>
  </si>
  <si>
    <t xml:space="preserve">N/SHEET: not applicable (see note) | RFI: MEP sheets excluded by the estimator 2026-10-31: no duct / pipe crossing read (RFI-08) Delta: per duct crossing: + MAX(1, ROUNDUP(width/24")) plates + 1 sleeve</t>
  </si>
  <si>
    <t xml:space="preserve">Extra framing - ATM recess (only what a detail prints at the recess; the wall stays in its type)</t>
  </si>
  <si>
    <t xml:space="preserve">[DERIVED] N/SHEET: not applicable (see note) | none: No ATM / equipment recess in the set (A1.1, A4.1, A5.1 reviewed) (A1.1)</t>
  </si>
  <si>
    <t xml:space="preserve">2-1/2" CFMF @ 16" O.C. at coiling grille head (detail per plans)</t>
  </si>
  <si>
    <t xml:space="preserve">N/SHEET: not applicable (see note) | none: no parapet infill, coiling grille or duct sleeve detail in the canon</t>
  </si>
  <si>
    <t xml:space="preserve">Gypsum board jamb return at openings</t>
  </si>
  <si>
    <t xml:space="preserve">N/SHEET: not applicable (see note) | edges 36.19 LF x 0.5 ft = 18.09 SF [Window D1 18.09 [12/A5.2]; Window D2 18.09 [12/A5.2]]</t>
  </si>
  <si>
    <t xml:space="preserve">PVC trim - edge trim molding and inside corner molding at the FRP</t>
  </si>
  <si>
    <t xml:space="preserve">[DERIVED] N/SHEET: not applicable (see note) | none: No FRP called; restrooms W-4 sanitary wall and ceiling panel system (A1.2) is a finish item - RFI-07</t>
  </si>
  <si>
    <t xml:space="preserve">Power-driven fasteners and duct sleeves</t>
  </si>
  <si>
    <t xml:space="preserve">[DERIVED] N/SHEET: not applicable (see note) | none: no parapet infill, coiling grille or duct sleeve detail in the canon</t>
  </si>
  <si>
    <t xml:space="preserve">Access panel</t>
  </si>
  <si>
    <t xml:space="preserve">[DERIVED] N/SHEET: not applicable (see note) | none: No access panel shown in the gypsum ceilings or walls (A1.1, A1.2, A4.1, A4.2) (A1.2)</t>
  </si>
  <si>
    <t xml:space="preserve">Drywall screws #7 x 1-1/4" Type S bugle head (board on 25/20 ga studs)</t>
  </si>
  <si>
    <t xml:space="preserve">[DERIVED] N/SHEET: GA-216 | Inputs!B20 (Drywall screws per SF of board = 1.2) x 7988.42 SF of board</t>
  </si>
  <si>
    <t xml:space="preserve">Framing screws #8-18 x 1/2" pan head (25/20 ga studs) -&gt; printed product: #10 screws, each stud flange to track (S1.1 7.E)</t>
  </si>
  <si>
    <t xml:space="preserve">[DERIVED] N/SHEET: driver = the board / stud / bottom track rows of this sheet | Inputs!B21 (Framing screws per stud piece = 4) x 171 stud pieces | Breakdown [DERIVED]: 4 x 171 stud pieces of the 25/20 ga walls and other framing [S24-OFF 9 + S24-RR 12 + S24-RR104S 6 + S41-B-H 3 + S41-B-V 5 + S41-C-H 3 + S41-C-V 4 + S42-H1 22 + S42-H2 14 + S42-V1 28 + S42-V2 6 + S43-OFF-E 7 + S43-OFF-S 11 + S43-OFF-W 7 + S43-RR-S 19 + S43-RR103-W 7 + S61-RR 8 (walls 171); minus 167 pieces of walls without track (S21-E1, S21-E2, S21-N, S21-S, S21-W1, S21-W2; R80e.74)] = 684</t>
  </si>
  <si>
    <t xml:space="preserve">Power-driven fasteners, slab pins for the bottom track -&gt; printed product: Simpson Titen HD 3/8" @ 48" O.C. (S1.1 7.F/7.G; 3/S5.1, 4/S5.1)</t>
  </si>
  <si>
    <t xml:space="preserve">[DERIVED] N/SHEET: slab pin spacing: see the operation (Inputs yield) | 151.04 LF of interior bottom track on slab / Inputs!B22 (Power-driven pin spacing (ft) = 4)</t>
  </si>
  <si>
    <t xml:space="preserve">Expansion anchors Hilti 1/4" Kwik Bolt II, exterior bottom track @ 8" O.C. -&gt; printed product: Simpson Titen HD 3/8" @ 48" O.C. (S1.1 7.F/7.G)</t>
  </si>
  <si>
    <t xml:space="preserve">[DERIVED] N/SHEET: driver = the board / stud / bottom track rows of this sheet | 24 LF of exterior bottom track on slab / Inputs!B25 (Expansion anchor spacing (ft) = 4)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</si>
  <si>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</si>
  <si>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</si>
  <si>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</si>
  <si>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8443.73 SF of board</t>
  </si>
  <si>
    <t xml:space="preserve">Joint tape, paper</t>
  </si>
  <si>
    <t xml:space="preserve">[DERIVED] N/SHEET: driver = the board / stud / bottom track rows of this sheet | Inputs!B24 (Joint tape (LF per SF) = 0.37) x 8443.73 SF of board</t>
  </si>
  <si>
    <t xml:space="preserve">Level 5 finish</t>
  </si>
  <si>
    <t xml:space="preserve">[DERIVED] N/SHEET: not applicable (see note) | none: No Level 5 called in the finish schedule / types (A1.2 paints W-2, W-3, C-3 only) (A1.2)</t>
  </si>
  <si>
    <t xml:space="preserve">Deflection clips at non-load-bearing walls to structure</t>
  </si>
  <si>
    <t xml:space="preserve">[DERIVED] N/SHEET: not applicable (see note) | none: Deflection by continuous 3" x 14 ga deep leg slotted deflection track at the purlin (3/S5.1, 4/S5.1) and A1.1 note 2.C deflection channels 1 1/2" min; no deflection clips called</t>
  </si>
  <si>
    <t xml:space="preserve">Heavy-gauge framing screws #10-16 x 3/4" pan head (18/16/14 ga studs)</t>
  </si>
  <si>
    <t xml:space="preserve">[DERIVED] N/SHEET: not applicable (see note) | 6 (3 per connection x 2 ends) x 132 stud pieces of the 18/16/14 ga walls (EXT-HEAD-6 31 + EXT-HEAD-8 31 + EXT-PIER-L-6 6 + EXT-PIER-L-8 6 + EXT-PIER-R-6 6 + EXT-PIER-R-8 6 + EXT-SOUTH-BAND 28 + VEST-HD-B1 5 + VEST-HD-B2 5 + VEST-HD-C 8 = 132) = 792</t>
  </si>
  <si>
    <t xml:space="preserve">Type S-12 drywall screws #6 x 1-1/4" (board on 18/16/14 ga studs)</t>
  </si>
  <si>
    <t xml:space="preserve">[DERIVED] N/SHEET: not applicable (see note) | 1.2 x (455.31 SF of board on the 18/16/14 ga walls (EXT-HEAD-6, EXT-HEAD-8, EXT-PIER-L-6, EXT-PIER-L-8, EXT-PIER-R-6, EXT-PIER-R-8, EXT-SOUTH-BAND, VEST-HD-B1, VEST-HD-B2, VEST-HD-C) = 455.31 SF) = 546.37</t>
  </si>
  <si>
    <t xml:space="preserve">RFI</t>
  </si>
  <si>
    <t xml:space="preserve">Question / condition</t>
  </si>
  <si>
    <t xml:space="preserve">Delta of each alternative</t>
  </si>
  <si>
    <t xml:space="preserve">RFI-ACC-gypsum-board-jamb-return</t>
  </si>
  <si>
    <t xml:space="preserve">gypsum board jamb return: jamb return width not dimensioned</t>
  </si>
  <si>
    <t xml:space="preserve">(A) Plans / specs: delta -10.86 sf | (B) Trade code: no applicable code provision cited | (C) Other: ____</t>
  </si>
  <si>
    <t xml:space="preserve">RFI-ACC-slab-pins</t>
  </si>
  <si>
    <t xml:space="preserve">slab pins: pin spacing: carried one pin every 48.0" (S1.1 7.G (intermediate anchors @ 48" O.C. max); 3/S5.1, 4/S5.1 TITEN HD 3/8" @ 48" O.C. (MAX.)); alternatives: one row @ 16" / one row @ 24"</t>
  </si>
  <si>
    <t xml:space="preserve">(A) Plans / specs: delta 16in: 75.52 pcs; 24in: 37.76 pcs | (B) Trade code: no applicable code provision cited | (C) Other: ____</t>
  </si>
  <si>
    <t xml:space="preserve">RFI-ACC-stud-reinforcement-mep</t>
  </si>
  <si>
    <t xml:space="preserve">stud reinforcement MEP: MEP sheets excluded by the estimator 2026-10-31: no duct / pipe crossing read (RFI-08)</t>
  </si>
  <si>
    <t xml:space="preserve">(A) Plans / specs: delta per duct crossing: + MAX(1, ROUNDUP(width/24")) plates + 1 sleeve | (B) Trade code: no applicable code provision cited | (C) Other: ____</t>
  </si>
  <si>
    <t xml:space="preserve">RFI-01</t>
  </si>
  <si>
    <t xml:space="preserve">Top of studs / Z-furring at the PEMB roof: bottom of purlin elevation not printed - where: S21-*, S42-H1, S42-H2, S42-V1, S42-V2, VEST-HD-* - carried: loaded to the top of purlin / eave elevation (conservative, rule 53.3)</t>
  </si>
  <si>
    <t xml:space="preserve">(A) Studs and furring stop under the PEMB purlins / eave strut; T.O. eave 114'-7 1/2" (E) to 116'-4 3/4" (W) printed, purlin depth by P.E.M.B. shop drawings (A1.1 general note D) | 2/A3.2, 1/A3.1, 3/S5.1 | delta minus purlin depth (~8" typical Z purlin) on every full-height stud, furring and board face: about -0.67 ft x LF of S21 (250.7 LF), S42 full (46.8 LF), heads | (B) Code: no height rule; AISI S240 / ASTM C754 require the stud to bear on structure - height from shop drawings | AISI S240-20 B1; ASTM C754 sec. 6 | delta same as A | (C) Other: ____</t>
  </si>
  <si>
    <t xml:space="preserve">RFI-02</t>
  </si>
  <si>
    <t xml:space="preserve">S24 Z-furring height and board on the CMU above the 8'-6" hard lid (office 102, R.R. 103/104) - where: S24-OFF, S24-RR, S24-RR104S - carried: S24 Z-furring loaded to the eave (14.625 / 14.71 ft) = 336.89 LF (misc item ZF-S24); board only to 8'-6" on the studs</t>
  </si>
  <si>
    <t xml:space="preserve">(A) S24/A1.1 draws 150ZF125-18 Z-furring + polyiso on the CMU behind the 8'-6" stud lining; height not stated (S21 goes to the roof per 3/A3.2) | S24/A1.1 | delta + Z-furring 24" O.C. x 14.6 ft on 11.0 + 16.17 + 8.5 = 35.7 LF of CMU (about 19 pcs) and, if boarded above the hard lid, + 35.7 x 6.1 = 218 SF 5/8" Type X | (B) No code requirement for furring above a ceiling (energy code continuity of insulation only) | IECC C402.1 (insulation continuity) | delta none | (C) Other: ____</t>
  </si>
  <si>
    <t xml:space="preserve">RFI-03</t>
  </si>
  <si>
    <t xml:space="preserve">S42 header wall extension east of the S42 vertical wall - where: S42-H2 - carried: included (drawn on A1.1)</t>
  </si>
  <si>
    <t xml:space="preserve">(A) A1.1 draws the header double line ~7.2 ft past the S42 corner (to the dimension line); S4.1 framing key plan ends the dashed header at the corner | A1.1, S4.1 | delta -7.2 LF of header wall (S42-H2 25.44 -&gt; 18.27 ft) and its board / nailers | (B) No code item | n/a | delta n/a | (C) Other: ____</t>
  </si>
  <si>
    <t xml:space="preserve">RFI-04</t>
  </si>
  <si>
    <t xml:space="preserve">CLOSED (plan check): south facade 36'-0" stucco panel - the band measures 36.0 ft on A1.1, as printed - where: EXT-SOUTH-BAND, S21-S openings - carried: 36'-0" printed and measured</t>
  </si>
  <si>
    <t xml:space="preserve">(A) printed and measured agree | A1.1, A2.1 | delta 0 | (B) no code provision | n/a | delta 0 | (C) Other: ____</t>
  </si>
  <si>
    <t xml:space="preserve">RFI-05</t>
  </si>
  <si>
    <t xml:space="preserve">Hard-lid ceilings office/restrooms: board on top of the 600S162-54 joists - where: office 102, R.R. 103, R.R. 104 - carried: bottom (ceiling) board only</t>
  </si>
  <si>
    <t xml:space="preserve">(A) 7/A4.2 key 6 leaders reach the top of the joist box; schedule C-3 is the ceiling below | 7/A4.2, A1.2 | delta + 88 + 133.2 = 221.2 SF 5/8" Type X (WR in restrooms) if boarded on top | (B) Code: not required unless a rated assembly | IBC 2021 703.2 (rated assemblies only) | delta none | (C) Other: ____</t>
  </si>
  <si>
    <t xml:space="preserve">RFI-06</t>
  </si>
  <si>
    <t xml:space="preserve">Entry pier / head interior finish and returns - where: EXT-PIER-*, EXT-HEAD-8 - carried: 5/8" Type X face loaded; RC and 1/4" not loaded (no family)</t>
  </si>
  <si>
    <t xml:space="preserve">(A) 1/A3.1, 7/A3.2, 1/A5.2: 5/8" Type X over 1/4" gypsum board on 087F125-33 resilient channel @ 24" horiz.; pier side returns not dimensioned | 1/A3.1, 7/A3.2, 1/A5.2 | delta + 1/4" gypsum about 349 SF and + 087F125-33 RC about 243 LF (piers 2 x 10 rows x 6.0 + head 4 rows x 30.67); returns + ~2 x 2 x 1.2 ft x 20.7 ft studs/sheathing; head underside (1/A5.2): +36 SF 5/8" X, +36 SF 1/4", +30.67 LF corner bead | (B) Code: no requirement | n/a | delta n/a | (C) Other: ____</t>
  </si>
  <si>
    <t xml:space="preserve">RFI-07</t>
  </si>
  <si>
    <t xml:space="preserve">Restroom wall finish W-4 sanitary wall and ceiling panel system - where: R.R. 103, R.R. 104 - carried: not loaded (finish trade); frp_none_reason</t>
  </si>
  <si>
    <t xml:space="preserve">(A) A1.2 schedule W-4 at R.R. 103/104 walls (MFG refer project manual) | A1.2 | delta + FRP-type panel on 4 walls of each restroom: about 2 x (2 x 7.83 + 2 x 8.5) x 8.5 = 555 SF if in the drywall scope | (B) Code: smooth nonabsorbent surface to 4'-0" at urinals / water closets | IBC 2021 1210.2.2 | delta finish to 4'-0" only: about 260 SF | (C) Other: ____</t>
  </si>
  <si>
    <t xml:space="preserve">RFI-08</t>
  </si>
  <si>
    <t xml:space="preserve">MEP sweep excluded by the estimator (2026-10-31) - where: all stud walls - carried: 0 counted</t>
  </si>
  <si>
    <t xml:space="preserve">(A) MEP sheets not read: duct / pipe penetrations, framed openings and stud reinforcement not counted | estimator order in this session, 2026-10-31 (exclude all electrical, civil, cabinet and MEP sheets) | delta per duct crossing a stud wall: + MAX(1, ROUNDUP(width/24")) plates and 1 sleeve | (B) Code: n/a | n/a | delta n/a | (C) Other: ____</t>
  </si>
  <si>
    <t xml:space="preserve">RFI-09</t>
  </si>
  <si>
    <t xml:space="preserve">S42 header wall bracing members not dimensioned (kicker length, angled strut length, 600S200-54 purlin members, track brace splices) - where: S42-H2, S42-V1 - carried: kickers 7.07 ft (45 deg), angled struts 8.0 ft; 600S200-54 not loaded</t>
  </si>
  <si>
    <t xml:space="preserve">(A) 1/S5.1, 2/S5.1, 4/S5.1, 5/S5.1 give spacing only (kickers @ 48", angled strut @ 16'-0", 600S200-54 @ 24" / 48", 5'-0"+- reach) | S5.1 | delta kicker length +-1 ft each = +-22 LF; 600S200-54 pieces (not loaded): about ROUNDUP(L/2)+1 per header wall x purlin spacing (not printed); 2/S5.1: +16 L4x4x3/16 clip angles, +32 A307 bolts, +22 2x2x14 ga clips, +44 #10 SDS; #10 screws at kicker / strut / splice +400 | (B) Code: AISI S240 bracing design by the specialty engineer | AISI S240-20 B3.2 | delta per engineer | (C) Other: ____</t>
  </si>
  <si>
    <t xml:space="preserve">RFI-10</t>
  </si>
  <si>
    <t xml:space="preserve">Blocking quantities for toilet accessories, fire extinguishers, water heater, wall sign, 14/A4.1 key 12 - where: R.R. 103/104, S42, EXT-HEAD - carried: 48 LF loaded (accessories 38, extinguishers 6, water heater 4); 14/A4.1 key 12 and wall-sign backing not loaded</t>
  </si>
  <si>
    <t xml:space="preserve">(A) A4.1 accessory note 1, A4.1 key 17, A4.2 key 21, A3.1 key 31, 14/A4.1 key 12 call FRT blocking / backing without lengths | A4.1, A4.2, A3.1 | delta +-2 ft per accessory; 14/A4.1 key 12 continuous FRT 2x blocking along the Parts A walls would add up to ~140 LF (S42 Parts A faces) x rows; plumbing fixture backing (C/A4.1) +12 LF | (B) Code: grab bars 250 lbf | ICC A117.1-2017 609.8 | delta as option A | (C) Other: ____</t>
  </si>
  <si>
    <t xml:space="preserve">RFI-11</t>
  </si>
  <si>
    <t xml:space="preserve">J molding / corner bead at gypsum perimeter transitions (A1.1 note 3.C) and the S42 header bottom - where: S42-H2, S42-V1, S21-* - carried: only 7/A4.2 corner bead and 2/A4.2 reveals loaded</t>
  </si>
  <si>
    <t xml:space="preserve">(A) A1.1 note 3.C J molding, reglets or corner bead at transitions to dissimilar materials; 6/A4.2 board wraps the header bottom | A1.1, 6/A4.2 | delta + corner bead 2 x 75.8 = 151.6 LF at the header bottoms; + J mold at board tops against the PEMB roof (S21/S42 tops ~ 330 LF) | (B) ASTM C840 sec. 18 trim at exposed edges | ASTM C840-23 18.1 | delta same | (C) Other: ____</t>
  </si>
  <si>
    <t xml:space="preserve">RFI-12</t>
  </si>
  <si>
    <t xml:space="preserve">Diagonal wall bracing 3" x 16 ga flat strap at corner faces of free standing partitions (A1.1 note 2.B) - where: S41-* - carried: not loaded</t>
  </si>
  <si>
    <t xml:space="preserve">(A) Which partitions are 'free standing' is not shown (S41 boxes, office/restroom boxes tied by joists, S42 braced per S5.1) | A1.1 note 2.B | delta 2 straps x diagonal of each S41 leg face (~12.2 ft) x 4 legs = ~98 LF of 3" x 16 ga strap | (B) AISI S240 bracing per design | AISI S240-20 | delta per engineer | (C) Other: ____</t>
  </si>
  <si>
    <t xml:space="preserve">RFI-13</t>
  </si>
  <si>
    <t xml:space="preserve">Metal headers at CMU openings (doors 2, 3, 7; windows D1, D2) in the Z-furring - where: S21-N, S21-S - carried: 0 (masonry lintels by mason)</t>
  </si>
  <si>
    <t xml:space="preserve">(A) S4.1 masonry lintel schedule; 1/A5.1, 3/A5.1, 5/A5.1, 11/A5.2 show no metal header in the furring | S4.1, A5.1, A5.2 | delta if a 2-piece furring head were wanted: (R.O. + 1.333) x 2 per opening = 14.67 + 9.33 + 9.33 + 25.4 + 25.4 = 84.1 LF | (B) Code: none | n/a | delta n/a | (C) Other: ____</t>
  </si>
  <si>
    <t xml:space="preserve">RFI-14</t>
  </si>
  <si>
    <t xml:space="preserve">Vestibule head walls / ceiling framing member and height - where: VEST-HD-*, JOISTS-VESTIBULE - carried: vestibule heads carried 600S162-54 (16 ga, S4.1 key note 3 governs, A1.1 note 2.D) to the top of purlin; joists 600S162-43 @ 24" (3/A3.1)</t>
  </si>
  <si>
    <t xml:space="preserve">(A) 3/A3.1 key 8 600S162-43 @ 24" attached to PEMB; vestibule ceiling joists drawn under key 8; top at the purlin (not printed) | 3/A3.1, 3/A5.2 | delta if 600S162-43 (3/A3.1 key 8): same LF, gauge 18 instead of 16 on 20.57 LF of heads; -0.67 ft x 20.6 LF if the purlin is 8" deep | (B) AISI S240 | n/a | delta n/a | (C) Other: ____</t>
  </si>
  <si>
    <t xml:space="preserve">RFI-15</t>
  </si>
  <si>
    <t xml:space="preserve">Gypsum board finish level not printed (no project manual in the set; A1.1 notes silent) - where: all gypsum board - carried: Level 4 (joint compound + tape quantified), no Level 5</t>
  </si>
  <si>
    <t xml:space="preserve">(A) nothing printed (A1.1 notes 3.A-3.C; A1.2 W-2 semi-gloss paint) | A1.1, A1.2 | delta 0 | (B) Level 5 recommended under semi-gloss paint | GA-214 / ASTM C840 | delta + Level 5 SF = painted board SF | (C) Other: ____</t>
  </si>
  <si>
    <t xml:space="preserve">RFI-16</t>
  </si>
  <si>
    <t xml:space="preserve">Track at the top / bottom of the S21 Z-furring - where: S21 furring on the exterior CMU (6 walls) - carried: no track (none drawn on S21/A1.1 or the wall sections)</t>
  </si>
  <si>
    <t xml:space="preserve">(A) S21 type and 1/A3.2, 2/A3.2 draw the Z-furring on the CMU without track | S21/A1.1 | delta 0 | (B) Furring J-track / runner at top and bottom if required by the installer | ASTM C754 (furring attachment) | delta + 250.71 LF bottom + 250.71 LF top 1-1/2" track | (C) Other: ____</t>
  </si>
  <si>
    <t xml:space="preserve">RFI-17</t>
  </si>
  <si>
    <t xml:space="preserve">FRT blocking at the D1 / D2 jambs: size not printed (12/A5.2) - where: south facade D1, D2 - carried: loaded 2X4 as the head (11/A5.2): 36.19 LF of the 92.86 LF row; FRT plywood strip at the D1 / D2 head width not printed</t>
  </si>
  <si>
    <t xml:space="preserve">(A) 11/A5.2 draws FRT 2x4 blocking anchored to masonry at the window head / jambs | 11/A5.2 | delta +/- jamb blocking size; FRT plywood strip at the heads about +15 SF | (B) no code provision | n/a | delta 0 | (C) Other: ____</t>
  </si>
  <si>
    <t xml:space="preserve">RFI-18</t>
  </si>
  <si>
    <t xml:space="preserve">Gypsum board control joints on the S21 furring (walls over 30 ft and at masonry control joints) - where: S21-N, S21-E1, S21-S - carried: not loaded: joint locations follow the masonry control joints of the exterior elevations, not dimensioned</t>
  </si>
  <si>
    <t xml:space="preserve">(A) A1.1 note 3.A: control joints in partition lengths over 30 ft and at masonry control joints | 3.A/A1.1, A2.1 key 23 | delta about +77 LF of control joint (Step 12 estimate) | (B) control joints at 30 ft max | ASTM C840 / GA-216 | delta + 1 joint per 30 ft of S21 run x height | (C) Other: ____</t>
  </si>
  <si>
    <t xml:space="preserve">RFI-19</t>
  </si>
  <si>
    <t xml:space="preserve">Moisture resistant Type X at the janitor sink area (A1.1 note 3.B) - where: mop sink area, 13/A4.1 - carried: regular Type X carried outside the restrooms</t>
  </si>
  <si>
    <t xml:space="preserve">(A) W.R. at janitor sink areas: extent not dimensioned | 3.B/A1.1, 13/A4.1 | delta reclass +43 to +241 SF from Type X to Type X W.R. (no net SF change) | (B) MR board behind wet fixtures | GA-216 | delta same reclass | (C) Other: ____</t>
  </si>
  <si>
    <t xml:space="preserve">RFI-20</t>
  </si>
  <si>
    <t xml:space="preserve">FCB43.5 clips: 'one clip per stud' drawn, not written (1/S5.3, 3/S5.3) - where: entry piers, head wall - carried: loaded 144 clips (one per stud at each clip line drawn)</t>
  </si>
  <si>
    <t xml:space="preserve">(A) clips per stud at the CMU / wind beam connection | 1/S5.3, 3/S5.3 | delta if only every other stud: -72 clips | (B) per manufacturer | Simpson catalog | delta same | (C) Other: ____</t>
  </si>
  <si>
    <t xml:space="preserve">RFI-21</t>
  </si>
  <si>
    <t xml:space="preserve">Sheathing screw product: S5.2 KN8 #6 x 1-1/4" @ 8" vs S1.1 7.D #10 @ 6" / 12" - where: glass mat / FRT plywood sheathing - carried: loaded 1,058 #6 x 1-1/4" per S5.2 KN8 (exterior sheathing detail governs the general note)</t>
  </si>
  <si>
    <t xml:space="preserve">(A) sheathing screws at the printed spacing | S5.2, S1.1 | delta if S1.1 7.D: #10 product, about +240 screws (6" at sheet perimeter) | (B) #10 screws per S1.1 7.D | S1.1 7.D | delta same count, #10 | (C) Other: ____</t>
  </si>
  <si>
    <t xml:space="preserve">RFI-22</t>
  </si>
  <si>
    <t xml:space="preserve">FRT 2x nailers on the CMU parapet (5-6/A3.2, 4-5/A3.4, 2/A6.1) and 1/2" anchors - where: CMU parapets - carried: EXCLUDED: wood nailers anchored to the masonry parapet are rough carpentry / roofing (Div 06), not framing</t>
  </si>
  <si>
    <t xml:space="preserve">(A) if carried by the framing sub | 5/A3.2, 2/A6.1 | delta +544 to 816 LF FRT 2x + 1/2" anchors | (B) n/a | n/a | delta 0 | (C) Other: ____</t>
  </si>
  <si>
    <t xml:space="preserve">RFI-23</t>
  </si>
  <si>
    <t xml:space="preserve">FRT 2x nailers inside the concealed PEMB column enclosures (1/A4.2 key 10) - where: key note 1 columns, A1.1 - carried: not loaded: enclosure by others (1/A4.2 key 16); column count not in our scope</t>
  </si>
  <si>
    <t xml:space="preserve">(A) nailers per concealed column | 1/A4.2 | delta about +48 LF per column | (B) n/a | n/a | delta 0 | (C) Other: ____</t>
  </si>
  <si>
    <t xml:space="preserve">RFI-24</t>
  </si>
  <si>
    <t xml:space="preserve">Security shutters 'may be required' (H/A5.2) - where: storefront A - carried: not loaded</t>
  </si>
  <si>
    <t xml:space="preserve">(A) framing for shutter housing if required | H/A5.2 | delta 0 now; header / box framing if the shutter is added | (B) n/a | n/a | delta 0 | (C) Other: ____</t>
  </si>
  <si>
    <t xml:space="preserve">RFI-25</t>
  </si>
  <si>
    <t xml:space="preserve">Deep-leg track at the header walls 1/S5.1, 2/S5.1 (only 3/S5.1, 4/S5.1 print it) - where: S42 full-height walls, S21 / S24 tops - carried: loaded 46.83 LF deep-leg 3" x 14 ga on S42-H1 / S42-V2; header walls keep standard top track</t>
  </si>
  <si>
    <t xml:space="preserve">(A) deep-leg 14 ga slotted track at walls to the purlin | 3/S5.1, 4/S5.1 | delta + 75.77 LF deep-leg if the header walls take it | (B) deflection per A1.1 note 2.C | A1.1 2.C | delta 0 | (C) Other: ____</t>
  </si>
  <si>
    <t xml:space="preserve">RFI-26</t>
  </si>
  <si>
    <t xml:space="preserve">Track anchor embedment 4" (S1.1 7.F) vs 3-1/4" (3/S5.1, 4/S5.1) and anchors at wall ends / openings (S1.1 7.F) - where: interior walls on slab - carried: loaded Titen HD 3/8" @ 48" (S1.1 7.G) on every bottom track on slab</t>
  </si>
  <si>
    <t xml:space="preserve">(A) Titen HD @ 48" printed for the S42 floor walls | 3/S5.1, S1.1 | delta embedment only (product length); + 1 anchor at each wall end / opening per 7.F about +20 | (B) n/a | n/a | delta 0 | (C) Other: ____</t>
  </si>
  <si>
    <t xml:space="preserve">RFI-27</t>
  </si>
  <si>
    <t xml:space="preserve">#10 screws per flange not printed (S1.1 7.E) - where: all framing - carried: loaded #10 framing screws, 4 per stud (2 flanges x 2 ends); none on the Z-furring without track</t>
  </si>
  <si>
    <t xml:space="preserve">(A) #10 screws printed | S1.1 | delta 0 (count by the skill standing yield) | (B) n/a | n/a | delta 0 | (C) Other: ____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</si>
  <si>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</si>
  <si>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</si>
  <si>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</si>
  <si>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</si>
  <si>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</si>
  <si>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</si>
  <si>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</si>
  <si>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</si>
  <si>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</si>
  <si>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</si>
  <si>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</si>
  <si>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</si>
  <si>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</si>
  <si>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Types S24, S41, S42, S43, S61 (A1.1 wall types; 5/A4.2, 6/A4.2, 7/A4.2): 3-5/8" and 6" 20 ga studs and tracks in Material Summary; S21 / S24 Z-furring in its own row.</t>
  </si>
  <si>
    <t xml:space="preserve">ALC-02</t>
  </si>
  <si>
    <t xml:space="preserve">Exterior wall framing (CFMF)</t>
  </si>
  <si>
    <t xml:space="preserve">Entry piers + head wall over storefront A (8" 800S162-54 + 6" 600S162-54 @ 16", 1/A3.1, 2/A3.1, 3/S5.3), south stucco panel 600S162-43 (1/A3.4), vestibule heads 600S162-54 (3/A3.1, S4.1 key note 3, RFI-05).</t>
  </si>
  <si>
    <t xml:space="preserve">ALC-03</t>
  </si>
  <si>
    <t xml:space="preserve">Parapet framing</t>
  </si>
  <si>
    <t xml:space="preserve">NOT APPLICABLE</t>
  </si>
  <si>
    <t xml:space="preserve">Parapets are CMU to T.O. masonry with PEMB coping (A2.1, A3.1-A3.2); the CFMF above storefront A up to T.O. metal stud 120'-8" (2/A3.1) is counted in the exterior head wall (ALC-02).</t>
  </si>
  <si>
    <t xml:space="preserve">ALC-04</t>
  </si>
  <si>
    <t xml:space="preserve">Top / deflection and bottom track</t>
  </si>
  <si>
    <t xml:space="preserve">Bottom and top / deflection track by stud size (A1.1 note 2.C deflection channels at walls to roof structure; 3/S5.1, 4/S5.1); heads row for the vestibule heads.</t>
  </si>
  <si>
    <t xml:space="preserve">ALC-05</t>
  </si>
  <si>
    <t xml:space="preserve">Headers, sills and jambs at openings</t>
  </si>
  <si>
    <t xml:space="preserve">Header / box beam and additional head track by headers.py from the door / window schedules (A5.1, A5.2); CMU openings by mason (RFI-13).</t>
  </si>
  <si>
    <t xml:space="preserve">ALC-06</t>
  </si>
  <si>
    <t xml:space="preserve">Bracing / bridging</t>
  </si>
  <si>
    <t xml:space="preserve">Horizontal stud bridging @ 4'-0" O.C. vertical (A1.1 note 2.F) as C.R. channel rows; S42 header kickers / struts (1/S5.1, 2/S5.1, 5/S5.1, RFI-09); diagonal flat strap (note 2.B) in RFI-12.</t>
  </si>
  <si>
    <t xml:space="preserve">ALC-07</t>
  </si>
  <si>
    <t xml:space="preserve">Gypsum board on walls (layers per type)</t>
  </si>
  <si>
    <t xml:space="preserve">5/8" Type X on every type (A1.1 wall types S21-S61); faces to the hard-lid ceiling or to the purlin (RFI-01, RFI-02).</t>
  </si>
  <si>
    <t xml:space="preserve">ALC-08</t>
  </si>
  <si>
    <t xml:space="preserve">Moisture / abuse / special board at wet areas</t>
  </si>
  <si>
    <t xml:space="preserve">5/8" Type X moisture resistant at restrooms 103 / 104 walls and ceilings (A1.1 note 3.B, A1.2, 1A/A4.1).</t>
  </si>
  <si>
    <t xml:space="preserve">ALC-09</t>
  </si>
  <si>
    <t xml:space="preserve">Exterior gypsum / glass mat sheathing</t>
  </si>
  <si>
    <t xml:space="preserve">5/8" glass mat sheathing at the entry piers (1/A3.1 key 19) and the south stucco panel (1/A3.4); head wall over storefront A takes FRT plywood (2/A3.1 key 34).</t>
  </si>
  <si>
    <t xml:space="preserve">ALC-10</t>
  </si>
  <si>
    <t xml:space="preserve">FRT plywood sheathing / substrate</t>
  </si>
  <si>
    <t xml:space="preserve">5/8" exterior FRT plywood sheathing on the head wall face and storefront head soffit (2/A3.1, 3/A3.1 key 34) + 5/8" FRT plywood backing 8'-0" to 10'-0" at the S41 box-outs (key note 5, 4/A4.2).</t>
  </si>
  <si>
    <t xml:space="preserve">ALC-11</t>
  </si>
  <si>
    <t xml:space="preserve">Gypsum board ceilings</t>
  </si>
  <si>
    <t xml:space="preserve">C-3 gypsum hard-lid ceilings: office 102 + vestibule 100A (Type X) and restrooms 103 / 104 (Type X W.R.) (A1.2, 7/A4.2, 3/A3.1); top-side board in RFI-05.</t>
  </si>
  <si>
    <t xml:space="preserve">ALC-12</t>
  </si>
  <si>
    <t xml:space="preserve">Ceiling suspension (furring / carrying channel / hangers)</t>
  </si>
  <si>
    <t xml:space="preserve">No suspended gypsum ceiling: hard lids are framed with 6" joists @ 24" (7/A4.2, 3/A3.1, counted in the 6" stud row); C-1 ACT in Parts A is by the ACT trade (A1.2, 9/A4.2).</t>
  </si>
  <si>
    <t xml:space="preserve">ALC-13</t>
  </si>
  <si>
    <t xml:space="preserve">Soffits and bulkheads (framing + board)</t>
  </si>
  <si>
    <t xml:space="preserve">NOT APPLICABLE: no soffit or bulkhead drawn on A1.1, A1.2 or A3.1-A4.2; the S42 suspended header walls (6/A4.2) are rows of type S42 (ALC-01) and the vestibule 100A hard lid with its joists (3/A3.1) is in ALC-11 / 6" stud row.</t>
  </si>
  <si>
    <t xml:space="preserve">ALC-14</t>
  </si>
  <si>
    <t xml:space="preserve">Canopy / marquee framing and sheathing</t>
  </si>
  <si>
    <t xml:space="preserve">No canopy or marquee framing on A2.1 / A3.x: the stucco cornice (A2.1 key 5) is plaster on the CMU parapet; sign backing in RFI-10.</t>
  </si>
  <si>
    <t xml:space="preserve">ALC-15</t>
  </si>
  <si>
    <t xml:space="preserve">Column furring / wraps</t>
  </si>
  <si>
    <t xml:space="preserve">PEMB columns: key note 1 concealed in the walls with 24 ga sheet metal cover by others (1/A4.2 key 16), key note 2 exposed painted (A1.1): no gypsum column wraps.</t>
  </si>
  <si>
    <t xml:space="preserve">ALC-16</t>
  </si>
  <si>
    <t xml:space="preserve">Blocking (FRT wood / metal) for millwork</t>
  </si>
  <si>
    <t xml:space="preserve">FRT 2x nailers at the S42 header walls (6/A4.2 keys 10-11) and at T.O. metal stud (8/A3.2, 2/A3.1 key 11), toilet accessories (A4.1 note 1), water heater, fire extinguishers (10/A4.2); quantities in RFI-10.</t>
  </si>
  <si>
    <t xml:space="preserve">ALC-17</t>
  </si>
  <si>
    <t xml:space="preserve">Framed openings (MEP, access panels, diffusers)</t>
  </si>
  <si>
    <t xml:space="preserve">MEP and electrical sheets excluded by the estimator (2026-10-31): no framed openings or penetrations counted - RFI-08.</t>
  </si>
  <si>
    <t xml:space="preserve">ALC-18</t>
  </si>
  <si>
    <t xml:space="preserve">Trim: corner bead, casing bead, control joints, reveals</t>
  </si>
  <si>
    <t xml:space="preserve">Corner bead at the hard-lid tops (7/A4.2), DRMF reveals at the S42 control joints (2/A4.2, 14/A4.1); J-mold / header corner bead in RFI-11.</t>
  </si>
  <si>
    <t xml:space="preserve">ALC-19</t>
  </si>
  <si>
    <t xml:space="preserve">Acoustical sealant / sound attenuation (EXCLUDED: estimator standing order)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</si>
  <si>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</si>
  <si>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</si>
  <si>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</si>
  <si>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No FRP or cement board called; restrooms W-4 sanitary wall and ceiling panel system (A1.2) is a finish item - RFI-07.</t>
  </si>
  <si>
    <t xml:space="preserve">ALC-21</t>
  </si>
  <si>
    <t xml:space="preserve">Shaft walls / area separation walls</t>
  </si>
  <si>
    <t xml:space="preserve">No shaft walls or area separation walls in the set (A1.1 wall types S21-S61 only).</t>
  </si>
  <si>
    <t xml:space="preserve">ALC-22</t>
  </si>
  <si>
    <t xml:space="preserve">Rated assemblies (UL designs) and their board type</t>
  </si>
  <si>
    <t xml:space="preserve">No UL design called on A1.1 wall types; Type X board is specified by type (A1.1).</t>
  </si>
  <si>
    <t xml:space="preserve">ALC-23</t>
  </si>
  <si>
    <t xml:space="preserve">Special panels (ballistic, lead-lined, abuse)</t>
  </si>
  <si>
    <t xml:space="preserve">No ballistic, lead-lined or abuse panels on A1.1 / A1.2.</t>
  </si>
  <si>
    <t xml:space="preserve">ALC-24</t>
  </si>
  <si>
    <t xml:space="preserve">Finish level (Level 4 / Level 5)</t>
  </si>
  <si>
    <t xml:space="preserve">Finish level not printed (no project manual in the set): Level 4 carried (compound + tape), Level 5 in RFI-15.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</si>
  <si>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</si>
  <si>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</si>
  <si>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</si>
  <si>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</si>
  <si>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"cfa960a6638155ff5d56ce5fd83cc62a165f60d7eb7e046365bb68421227fd37", "evidencias": "049573fa2d17514c730615e6fbddf8604988953fd9bc7e79bd0720f6d13c30e7", "familias_out": "09324434699caa73f5fcd5d7637ef1e9ec67baf98aadd5079a8f61f81550660c", "reglas": "416b0052865ced4ef0056681dee972ee1f64972ce9e9e9d6b84a5bdb739dd0c5",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</si>
</sst>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4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4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8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45.346</v>
      </c>
      <c r="D6" s="0" t="n">
        <v>14.625</v>
      </c>
      <c r="E6" s="0" t="n">
        <v>1</v>
      </c>
      <c r="F6" s="0" t="s">
        <v>73</v>
      </c>
      <c r="G6" s="0" t="n">
        <v>24</v>
      </c>
      <c r="H6" s="0" t="n">
        <v>663.19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10.882</v>
      </c>
      <c r="D7" s="0" t="n">
        <v>14.625</v>
      </c>
      <c r="E7" s="0" t="n">
        <v>1</v>
      </c>
      <c r="F7" s="0" t="s">
        <v>73</v>
      </c>
      <c r="G7" s="0" t="n">
        <v>24</v>
      </c>
      <c r="H7" s="0" t="n">
        <v>159.15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84.708</v>
      </c>
      <c r="D8" s="0" t="n">
        <v>15.511</v>
      </c>
      <c r="E8" s="0" t="n">
        <v>1</v>
      </c>
      <c r="F8" s="0" t="s">
        <v>73</v>
      </c>
      <c r="G8" s="0" t="n">
        <v>24</v>
      </c>
      <c r="H8" s="0" t="n">
        <v>1313.91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75.64</v>
      </c>
      <c r="D9" s="0" t="n">
        <v>15.511</v>
      </c>
      <c r="E9" s="0" t="n">
        <v>1</v>
      </c>
      <c r="F9" s="0" t="s">
        <v>73</v>
      </c>
      <c r="G9" s="0" t="n">
        <v>24</v>
      </c>
      <c r="H9" s="0" t="n">
        <v>1173.25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9.22</v>
      </c>
      <c r="D10" s="0" t="n">
        <v>16.396</v>
      </c>
      <c r="E10" s="0" t="n">
        <v>1</v>
      </c>
      <c r="F10" s="0" t="s">
        <v>73</v>
      </c>
      <c r="G10" s="0" t="n">
        <v>24</v>
      </c>
      <c r="H10" s="0" t="n">
        <v>151.17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24.911</v>
      </c>
      <c r="D11" s="0" t="n">
        <v>16.396</v>
      </c>
      <c r="E11" s="0" t="n">
        <v>1</v>
      </c>
      <c r="F11" s="0" t="s">
        <v>73</v>
      </c>
      <c r="G11" s="0" t="n">
        <v>24</v>
      </c>
      <c r="H11" s="0" t="n">
        <v>408.44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B12" s="6" t="s">
        <v>92</v>
      </c>
      <c r="C12" s="4" t="n">
        <f aca="false">SUM(C6:C11)</f>
        <v>250.707</v>
      </c>
      <c r="H12" s="4" t="n">
        <f aca="false">SUM(H6:H11)</f>
        <v>3869.11</v>
      </c>
    </row>
    <row r="13" customFormat="false" ht="15" hidden="false" customHeight="false" outlineLevel="0" collapsed="false">
      <c r="A13" s="5" t="s">
        <v>93</v>
      </c>
    </row>
    <row r="14" customFormat="false" ht="15" hidden="false" customHeight="false" outlineLevel="0" collapsed="false">
      <c r="A14" s="0" t="s">
        <v>94</v>
      </c>
      <c r="B14" s="0" t="s">
        <v>95</v>
      </c>
      <c r="C14" s="0" t="n">
        <v>11</v>
      </c>
      <c r="D14" s="0" t="n">
        <v>8.5</v>
      </c>
      <c r="E14" s="0" t="n">
        <v>1</v>
      </c>
      <c r="F14" s="0" t="s">
        <v>96</v>
      </c>
      <c r="G14" s="0" t="n">
        <v>24</v>
      </c>
      <c r="H14" s="0" t="n">
        <v>93.5</v>
      </c>
      <c r="I14" s="0" t="s">
        <v>97</v>
      </c>
      <c r="J14" s="0" t="s">
        <v>98</v>
      </c>
      <c r="K14" s="0" t="s">
        <v>99</v>
      </c>
    </row>
    <row r="15" customFormat="false" ht="15" hidden="false" customHeight="false" outlineLevel="0" collapsed="false">
      <c r="A15" s="0" t="s">
        <v>100</v>
      </c>
      <c r="B15" s="0" t="s">
        <v>101</v>
      </c>
      <c r="C15" s="0" t="n">
        <v>16.167</v>
      </c>
      <c r="D15" s="0" t="n">
        <v>8.5</v>
      </c>
      <c r="E15" s="0" t="n">
        <v>1</v>
      </c>
      <c r="F15" s="0" t="s">
        <v>96</v>
      </c>
      <c r="G15" s="0" t="n">
        <v>24</v>
      </c>
      <c r="H15" s="0" t="n">
        <v>137.42</v>
      </c>
      <c r="I15" s="0" t="s">
        <v>102</v>
      </c>
      <c r="J15" s="0" t="s">
        <v>98</v>
      </c>
      <c r="K15" s="0" t="s">
        <v>99</v>
      </c>
    </row>
    <row r="16" customFormat="false" ht="15" hidden="false" customHeight="false" outlineLevel="0" collapsed="false">
      <c r="A16" s="0" t="s">
        <v>103</v>
      </c>
      <c r="B16" s="0" t="s">
        <v>104</v>
      </c>
      <c r="C16" s="0" t="n">
        <v>8.5</v>
      </c>
      <c r="D16" s="0" t="n">
        <v>8.5</v>
      </c>
      <c r="E16" s="0" t="n">
        <v>1</v>
      </c>
      <c r="F16" s="0" t="s">
        <v>96</v>
      </c>
      <c r="G16" s="0" t="n">
        <v>24</v>
      </c>
      <c r="H16" s="0" t="n">
        <v>72.25</v>
      </c>
      <c r="I16" s="0" t="s">
        <v>105</v>
      </c>
      <c r="J16" s="0" t="s">
        <v>98</v>
      </c>
      <c r="K16" s="0" t="s">
        <v>99</v>
      </c>
    </row>
    <row r="17" customFormat="false" ht="15" hidden="false" customHeight="false" outlineLevel="0" collapsed="false">
      <c r="B17" s="6" t="s">
        <v>106</v>
      </c>
      <c r="C17" s="4" t="n">
        <f aca="false">SUM(C14:C16)</f>
        <v>35.667</v>
      </c>
      <c r="H17" s="4" t="n">
        <f aca="false">SUM(H14:H16)</f>
        <v>303.17</v>
      </c>
    </row>
    <row r="18" customFormat="false" ht="15" hidden="false" customHeight="false" outlineLevel="0" collapsed="false">
      <c r="A18" s="5" t="s">
        <v>107</v>
      </c>
    </row>
    <row r="19" customFormat="false" ht="15" hidden="false" customHeight="false" outlineLevel="0" collapsed="false">
      <c r="A19" s="0" t="s">
        <v>108</v>
      </c>
      <c r="B19" s="0" t="s">
        <v>109</v>
      </c>
      <c r="C19" s="0" t="n">
        <v>1.313</v>
      </c>
      <c r="D19" s="0" t="n">
        <v>12</v>
      </c>
      <c r="E19" s="0" t="n">
        <v>1</v>
      </c>
      <c r="F19" s="0" t="s">
        <v>96</v>
      </c>
      <c r="G19" s="0" t="n">
        <v>24</v>
      </c>
      <c r="H19" s="0" t="n">
        <v>15.76</v>
      </c>
      <c r="I19" s="0" t="s">
        <v>110</v>
      </c>
      <c r="J19" s="0" t="s">
        <v>111</v>
      </c>
      <c r="K19" s="0" t="s">
        <v>76</v>
      </c>
    </row>
    <row r="20" customFormat="false" ht="15" hidden="false" customHeight="false" outlineLevel="0" collapsed="false">
      <c r="A20" s="0" t="s">
        <v>112</v>
      </c>
      <c r="B20" s="0" t="s">
        <v>113</v>
      </c>
      <c r="C20" s="0" t="n">
        <v>2.167</v>
      </c>
      <c r="D20" s="0" t="n">
        <v>12</v>
      </c>
      <c r="E20" s="0" t="n">
        <v>1</v>
      </c>
      <c r="F20" s="0" t="s">
        <v>96</v>
      </c>
      <c r="G20" s="0" t="n">
        <v>24</v>
      </c>
      <c r="H20" s="0" t="n">
        <v>26</v>
      </c>
      <c r="I20" s="0" t="s">
        <v>114</v>
      </c>
      <c r="J20" s="0" t="s">
        <v>111</v>
      </c>
      <c r="K20" s="0" t="s">
        <v>99</v>
      </c>
    </row>
    <row r="21" customFormat="false" ht="15" hidden="false" customHeight="false" outlineLevel="0" collapsed="false">
      <c r="A21" s="0" t="s">
        <v>115</v>
      </c>
      <c r="B21" s="0" t="s">
        <v>116</v>
      </c>
      <c r="C21" s="0" t="n">
        <v>1.313</v>
      </c>
      <c r="D21" s="0" t="n">
        <v>12</v>
      </c>
      <c r="E21" s="0" t="n">
        <v>1</v>
      </c>
      <c r="F21" s="0" t="s">
        <v>96</v>
      </c>
      <c r="G21" s="0" t="n">
        <v>24</v>
      </c>
      <c r="H21" s="0" t="n">
        <v>15.76</v>
      </c>
      <c r="I21" s="0" t="s">
        <v>117</v>
      </c>
      <c r="J21" s="0" t="s">
        <v>111</v>
      </c>
      <c r="K21" s="0" t="s">
        <v>76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1.667</v>
      </c>
      <c r="D22" s="0" t="n">
        <v>12</v>
      </c>
      <c r="E22" s="0" t="n">
        <v>1</v>
      </c>
      <c r="F22" s="0" t="s">
        <v>96</v>
      </c>
      <c r="G22" s="0" t="n">
        <v>24</v>
      </c>
      <c r="H22" s="0" t="n">
        <v>20</v>
      </c>
      <c r="I22" s="0" t="s">
        <v>120</v>
      </c>
      <c r="J22" s="0" t="s">
        <v>111</v>
      </c>
      <c r="K22" s="0" t="s">
        <v>99</v>
      </c>
    </row>
    <row r="23" customFormat="false" ht="15" hidden="false" customHeight="false" outlineLevel="0" collapsed="false">
      <c r="B23" s="6" t="s">
        <v>121</v>
      </c>
      <c r="C23" s="4" t="n">
        <f aca="false">SUM(C19:C22)</f>
        <v>6.46</v>
      </c>
      <c r="H23" s="4" t="n">
        <f aca="false">SUM(H19:H22)</f>
        <v>77.52</v>
      </c>
    </row>
    <row r="24" customFormat="false" ht="15" hidden="false" customHeight="false" outlineLevel="0" collapsed="false">
      <c r="A24" s="5" t="s">
        <v>122</v>
      </c>
    </row>
    <row r="25" customFormat="false" ht="15" hidden="false" customHeight="false" outlineLevel="0" collapsed="false">
      <c r="A25" s="0" t="s">
        <v>123</v>
      </c>
      <c r="B25" s="0" t="s">
        <v>124</v>
      </c>
      <c r="C25" s="0" t="n">
        <v>64.11</v>
      </c>
      <c r="D25" s="0" t="n">
        <v>12.461</v>
      </c>
      <c r="E25" s="0" t="n">
        <v>2</v>
      </c>
      <c r="F25" s="0" t="s">
        <v>96</v>
      </c>
      <c r="G25" s="0" t="n">
        <v>24</v>
      </c>
      <c r="H25" s="0" t="n">
        <v>1415.77</v>
      </c>
      <c r="I25" s="0" t="s">
        <v>125</v>
      </c>
      <c r="J25" s="0" t="s">
        <v>126</v>
      </c>
      <c r="K25" s="0" t="s">
        <v>76</v>
      </c>
    </row>
    <row r="26" customFormat="false" ht="15" hidden="false" customHeight="false" outlineLevel="0" collapsed="false">
      <c r="A26" s="0" t="s">
        <v>127</v>
      </c>
      <c r="B26" s="0" t="s">
        <v>128</v>
      </c>
      <c r="C26" s="0" t="n">
        <v>58.5</v>
      </c>
      <c r="D26" s="0" t="n">
        <v>9.905</v>
      </c>
      <c r="E26" s="0" t="n">
        <v>2</v>
      </c>
      <c r="F26" s="0" t="s">
        <v>96</v>
      </c>
      <c r="G26" s="0" t="n">
        <v>24</v>
      </c>
      <c r="H26" s="0" t="n">
        <v>937.52</v>
      </c>
      <c r="I26" s="0" t="s">
        <v>129</v>
      </c>
      <c r="J26" s="0" t="s">
        <v>130</v>
      </c>
      <c r="K26" s="0" t="s">
        <v>99</v>
      </c>
    </row>
    <row r="27" customFormat="false" ht="15" hidden="false" customHeight="false" outlineLevel="0" collapsed="false">
      <c r="B27" s="6" t="s">
        <v>131</v>
      </c>
      <c r="C27" s="4" t="n">
        <f aca="false">SUM(C25:C26)</f>
        <v>122.61</v>
      </c>
      <c r="H27" s="4" t="n">
        <f aca="false">SUM(H25:H26)</f>
        <v>2353.29</v>
      </c>
    </row>
    <row r="28" customFormat="false" ht="15" hidden="false" customHeight="false" outlineLevel="0" collapsed="false">
      <c r="A28" s="5" t="s">
        <v>132</v>
      </c>
    </row>
    <row r="29" customFormat="false" ht="15" hidden="false" customHeight="false" outlineLevel="0" collapsed="false">
      <c r="A29" s="0" t="s">
        <v>133</v>
      </c>
      <c r="B29" s="0" t="s">
        <v>134</v>
      </c>
      <c r="C29" s="0" t="n">
        <v>8.664</v>
      </c>
      <c r="D29" s="0" t="n">
        <v>8.5</v>
      </c>
      <c r="E29" s="0" t="n">
        <v>2</v>
      </c>
      <c r="F29" s="0" t="s">
        <v>96</v>
      </c>
      <c r="G29" s="0" t="n">
        <v>24</v>
      </c>
      <c r="H29" s="0" t="n">
        <v>151.62</v>
      </c>
      <c r="I29" s="0" t="s">
        <v>135</v>
      </c>
      <c r="J29" s="0" t="s">
        <v>136</v>
      </c>
      <c r="K29" s="0" t="s">
        <v>76</v>
      </c>
    </row>
    <row r="30" customFormat="false" ht="15" hidden="false" customHeight="false" outlineLevel="0" collapsed="false">
      <c r="A30" s="0" t="s">
        <v>137</v>
      </c>
      <c r="B30" s="0" t="s">
        <v>138</v>
      </c>
      <c r="C30" s="0" t="n">
        <v>11</v>
      </c>
      <c r="D30" s="0" t="n">
        <v>8.5</v>
      </c>
      <c r="E30" s="0" t="n">
        <v>2</v>
      </c>
      <c r="F30" s="0" t="s">
        <v>96</v>
      </c>
      <c r="G30" s="0" t="n">
        <v>24</v>
      </c>
      <c r="H30" s="0" t="n">
        <v>192.5</v>
      </c>
      <c r="I30" s="0" t="s">
        <v>139</v>
      </c>
      <c r="J30" s="0" t="s">
        <v>136</v>
      </c>
      <c r="K30" s="0" t="s">
        <v>99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0" t="n">
        <v>8.642</v>
      </c>
      <c r="D31" s="0" t="n">
        <v>8.5</v>
      </c>
      <c r="E31" s="0" t="n">
        <v>2</v>
      </c>
      <c r="F31" s="0" t="s">
        <v>96</v>
      </c>
      <c r="G31" s="0" t="n">
        <v>24</v>
      </c>
      <c r="H31" s="0" t="n">
        <v>151.24</v>
      </c>
      <c r="I31" s="0" t="s">
        <v>142</v>
      </c>
      <c r="J31" s="0" t="s">
        <v>136</v>
      </c>
      <c r="K31" s="0" t="s">
        <v>76</v>
      </c>
    </row>
    <row r="32" customFormat="false" ht="15" hidden="false" customHeight="false" outlineLevel="0" collapsed="false">
      <c r="A32" s="0" t="s">
        <v>143</v>
      </c>
      <c r="B32" s="0" t="s">
        <v>144</v>
      </c>
      <c r="C32" s="0" t="n">
        <v>9.106</v>
      </c>
      <c r="D32" s="0" t="n">
        <v>8.5</v>
      </c>
      <c r="E32" s="0" t="n">
        <v>2</v>
      </c>
      <c r="F32" s="0" t="s">
        <v>96</v>
      </c>
      <c r="G32" s="0" t="n">
        <v>24</v>
      </c>
      <c r="H32" s="0" t="n">
        <v>159.35</v>
      </c>
      <c r="I32" s="0" t="s">
        <v>145</v>
      </c>
      <c r="J32" s="0" t="s">
        <v>136</v>
      </c>
      <c r="K32" s="0" t="s">
        <v>76</v>
      </c>
    </row>
    <row r="33" customFormat="false" ht="15" hidden="false" customHeight="false" outlineLevel="0" collapsed="false">
      <c r="A33" s="0" t="s">
        <v>146</v>
      </c>
      <c r="B33" s="0" t="s">
        <v>147</v>
      </c>
      <c r="C33" s="0" t="n">
        <v>16.167</v>
      </c>
      <c r="D33" s="0" t="n">
        <v>8.5</v>
      </c>
      <c r="E33" s="0" t="n">
        <v>2</v>
      </c>
      <c r="F33" s="0" t="s">
        <v>96</v>
      </c>
      <c r="G33" s="0" t="n">
        <v>24</v>
      </c>
      <c r="H33" s="0" t="n">
        <v>282.92</v>
      </c>
      <c r="I33" s="0" t="s">
        <v>148</v>
      </c>
      <c r="J33" s="0" t="s">
        <v>136</v>
      </c>
      <c r="K33" s="0" t="s">
        <v>99</v>
      </c>
    </row>
    <row r="34" customFormat="false" ht="15" hidden="false" customHeight="false" outlineLevel="0" collapsed="false">
      <c r="B34" s="6" t="s">
        <v>149</v>
      </c>
      <c r="C34" s="4" t="n">
        <f aca="false">SUM(C29:C33)</f>
        <v>53.579</v>
      </c>
      <c r="H34" s="4" t="n">
        <f aca="false">SUM(H29:H33)</f>
        <v>937.63</v>
      </c>
    </row>
    <row r="35" customFormat="false" ht="15" hidden="false" customHeight="false" outlineLevel="0" collapsed="false">
      <c r="A35" s="5" t="s">
        <v>150</v>
      </c>
    </row>
    <row r="36" customFormat="false" ht="15" hidden="false" customHeight="false" outlineLevel="0" collapsed="false">
      <c r="A36" s="0" t="s">
        <v>151</v>
      </c>
      <c r="B36" s="0" t="s">
        <v>152</v>
      </c>
      <c r="C36" s="0" t="n">
        <v>8.5</v>
      </c>
      <c r="D36" s="0" t="n">
        <v>8.5</v>
      </c>
      <c r="E36" s="0" t="n">
        <v>2</v>
      </c>
      <c r="F36" s="0" t="s">
        <v>153</v>
      </c>
      <c r="G36" s="0" t="n">
        <v>24</v>
      </c>
      <c r="H36" s="0" t="n">
        <v>144.5</v>
      </c>
      <c r="I36" s="0" t="s">
        <v>154</v>
      </c>
      <c r="J36" s="0" t="s">
        <v>155</v>
      </c>
      <c r="K36" s="0" t="s">
        <v>99</v>
      </c>
    </row>
    <row r="37" customFormat="false" ht="15" hidden="false" customHeight="false" outlineLevel="0" collapsed="false">
      <c r="B37" s="6" t="s">
        <v>156</v>
      </c>
      <c r="C37" s="4" t="n">
        <f aca="false">SUM(C36:C36)</f>
        <v>8.5</v>
      </c>
      <c r="H37" s="4" t="n">
        <f aca="false">SUM(H36:H36)</f>
        <v>144.5</v>
      </c>
    </row>
    <row r="38" customFormat="false" ht="15" hidden="false" customHeight="false" outlineLevel="0" collapsed="false">
      <c r="A38" s="5" t="s">
        <v>157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0" t="n">
        <v>50.667</v>
      </c>
      <c r="D39" s="0" t="n">
        <v>12.017</v>
      </c>
      <c r="E39" s="0" t="n">
        <v>0.84</v>
      </c>
      <c r="F39" s="0" t="s">
        <v>160</v>
      </c>
      <c r="G39" s="0" t="n">
        <v>16</v>
      </c>
      <c r="H39" s="0" t="n">
        <v>352.03</v>
      </c>
      <c r="I39" s="0" t="s">
        <v>161</v>
      </c>
      <c r="J39" s="0" t="s">
        <v>162</v>
      </c>
      <c r="K39" s="0" t="s">
        <v>99</v>
      </c>
    </row>
    <row r="40" customFormat="false" ht="15" hidden="false" customHeight="false" outlineLevel="0" collapsed="false">
      <c r="B40" s="6" t="s">
        <v>163</v>
      </c>
      <c r="C40" s="4" t="n">
        <f aca="false">SUM(C39:C39)</f>
        <v>50.667</v>
      </c>
      <c r="H40" s="4" t="n">
        <f aca="false">SUM(H39:H39)</f>
        <v>352.03</v>
      </c>
    </row>
    <row r="41" customFormat="false" ht="15" hidden="false" customHeight="false" outlineLevel="0" collapsed="false">
      <c r="A41" s="5" t="s">
        <v>164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50.667</v>
      </c>
      <c r="D42" s="0" t="n">
        <v>12.017</v>
      </c>
      <c r="E42" s="0" t="n">
        <v>0</v>
      </c>
      <c r="F42" s="0" t="s">
        <v>167</v>
      </c>
      <c r="G42" s="0" t="n">
        <v>16</v>
      </c>
      <c r="H42" s="0" t="n">
        <v>0</v>
      </c>
      <c r="I42" s="0" t="s">
        <v>168</v>
      </c>
      <c r="J42" s="0" t="s">
        <v>162</v>
      </c>
      <c r="K42" s="0" t="s">
        <v>99</v>
      </c>
    </row>
    <row r="43" customFormat="false" ht="15" hidden="false" customHeight="false" outlineLevel="0" collapsed="false">
      <c r="A43" s="0" t="s">
        <v>169</v>
      </c>
      <c r="B43" s="0" t="s">
        <v>170</v>
      </c>
      <c r="C43" s="0" t="n">
        <v>36</v>
      </c>
      <c r="D43" s="0" t="n">
        <v>7.969</v>
      </c>
      <c r="E43" s="0" t="n">
        <v>0</v>
      </c>
      <c r="F43" s="0" t="s">
        <v>171</v>
      </c>
      <c r="G43" s="0" t="n">
        <v>16</v>
      </c>
      <c r="H43" s="0" t="n">
        <v>0</v>
      </c>
      <c r="I43" s="0" t="s">
        <v>172</v>
      </c>
      <c r="J43" s="0" t="s">
        <v>173</v>
      </c>
      <c r="K43" s="0" t="s">
        <v>99</v>
      </c>
    </row>
    <row r="44" customFormat="false" ht="15" hidden="false" customHeight="false" outlineLevel="0" collapsed="false">
      <c r="B44" s="6" t="s">
        <v>174</v>
      </c>
      <c r="C44" s="4" t="n">
        <f aca="false">SUM(C42:C43)</f>
        <v>86.667</v>
      </c>
      <c r="H44" s="4" t="n">
        <f aca="false">SUM(H42:H43)</f>
        <v>0</v>
      </c>
    </row>
    <row r="45" customFormat="false" ht="15" hidden="false" customHeight="false" outlineLevel="0" collapsed="false">
      <c r="B45" s="6" t="s">
        <v>175</v>
      </c>
      <c r="C45" s="4" t="n">
        <f aca="false">C12+C17+C23+C27+C34+C37+C40+C44</f>
        <v>614.857</v>
      </c>
      <c r="H45" s="4" t="n">
        <f aca="false">H12+H17+H23+H27+H34+H37+H40+H44</f>
        <v>8037.25</v>
      </c>
    </row>
    <row r="47" customFormat="false" ht="15" hidden="false" customHeight="false" outlineLevel="0" collapsed="false">
      <c r="A47" s="5" t="s">
        <v>176</v>
      </c>
    </row>
    <row r="48" customFormat="false" ht="15" hidden="false" customHeight="false" outlineLevel="0" collapsed="false">
      <c r="A48" s="0" t="s">
        <v>177</v>
      </c>
      <c r="B48" s="0" t="s">
        <v>178</v>
      </c>
      <c r="C48" s="0" t="n">
        <v>8.488</v>
      </c>
      <c r="D48" s="0" t="n">
        <v>5.021</v>
      </c>
      <c r="E48" s="0" t="n">
        <v>1</v>
      </c>
      <c r="F48" s="0" t="s">
        <v>167</v>
      </c>
      <c r="G48" s="0" t="n">
        <v>24</v>
      </c>
      <c r="H48" s="0" t="n">
        <v>42.62</v>
      </c>
      <c r="I48" s="0" t="s">
        <v>179</v>
      </c>
      <c r="J48" s="0" t="s">
        <v>180</v>
      </c>
      <c r="K48" s="0" t="s">
        <v>76</v>
      </c>
    </row>
    <row r="49" customFormat="false" ht="15" hidden="false" customHeight="false" outlineLevel="0" collapsed="false">
      <c r="A49" s="0" t="s">
        <v>181</v>
      </c>
      <c r="B49" s="0" t="s">
        <v>182</v>
      </c>
      <c r="C49" s="0" t="n">
        <v>6.042</v>
      </c>
      <c r="D49" s="0" t="n">
        <v>5.021</v>
      </c>
      <c r="E49" s="0" t="n">
        <v>1</v>
      </c>
      <c r="F49" s="0" t="s">
        <v>167</v>
      </c>
      <c r="G49" s="0" t="n">
        <v>24</v>
      </c>
      <c r="H49" s="0" t="n">
        <v>30.34</v>
      </c>
      <c r="I49" s="0" t="s">
        <v>183</v>
      </c>
      <c r="J49" s="0" t="s">
        <v>180</v>
      </c>
      <c r="K49" s="0" t="s">
        <v>99</v>
      </c>
    </row>
    <row r="50" customFormat="false" ht="15" hidden="false" customHeight="false" outlineLevel="0" collapsed="false">
      <c r="A50" s="0" t="s">
        <v>184</v>
      </c>
      <c r="B50" s="0" t="s">
        <v>185</v>
      </c>
      <c r="C50" s="0" t="n">
        <v>6.042</v>
      </c>
      <c r="D50" s="0" t="n">
        <v>5.021</v>
      </c>
      <c r="E50" s="0" t="n">
        <v>1</v>
      </c>
      <c r="F50" s="0" t="s">
        <v>167</v>
      </c>
      <c r="G50" s="0" t="n">
        <v>24</v>
      </c>
      <c r="H50" s="0" t="n">
        <v>30.34</v>
      </c>
      <c r="I50" s="0" t="s">
        <v>186</v>
      </c>
      <c r="J50" s="0" t="s">
        <v>180</v>
      </c>
      <c r="K50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187</v>
      </c>
    </row>
    <row r="2" customFormat="false" ht="15" hidden="false" customHeight="false" outlineLevel="0" collapsed="false">
      <c r="A2" s="0" t="s">
        <v>188</v>
      </c>
    </row>
    <row r="3" customFormat="false" ht="15" hidden="false" customHeight="false" outlineLevel="0" collapsed="false">
      <c r="A3" s="2" t="s">
        <v>189</v>
      </c>
      <c r="B3" s="2" t="s">
        <v>190</v>
      </c>
      <c r="C3" s="2" t="s">
        <v>191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196</v>
      </c>
      <c r="I3" s="2" t="s">
        <v>197</v>
      </c>
      <c r="J3" s="2" t="s">
        <v>198</v>
      </c>
    </row>
    <row r="4" customFormat="false" ht="15" hidden="false" customHeight="false" outlineLevel="0" collapsed="false">
      <c r="A4" s="0" t="s">
        <v>199</v>
      </c>
      <c r="B4" s="0" t="s">
        <v>200</v>
      </c>
      <c r="C4" s="0" t="n">
        <v>218.32</v>
      </c>
      <c r="D4" s="0" t="n">
        <f aca="false">Inputs!$B$5</f>
        <v>0.15</v>
      </c>
      <c r="E4" s="0" t="n">
        <f aca="false">C4*D4</f>
        <v>32.748</v>
      </c>
      <c r="F4" s="0" t="n">
        <f aca="false">C4+E4</f>
        <v>251.068</v>
      </c>
      <c r="G4" s="0" t="s">
        <v>201</v>
      </c>
      <c r="H4" s="0" t="n">
        <f aca="false">ROUNDUP(F4/Inputs!$B$11,0)</f>
        <v>26</v>
      </c>
      <c r="I4" s="0" t="s">
        <v>202</v>
      </c>
    </row>
    <row r="5" customFormat="false" ht="15" hidden="false" customHeight="false" outlineLevel="0" collapsed="false">
      <c r="A5" s="0" t="s">
        <v>203</v>
      </c>
      <c r="B5" s="0" t="s">
        <v>200</v>
      </c>
      <c r="C5" s="0" t="n">
        <v>95.17</v>
      </c>
      <c r="D5" s="0" t="n">
        <f aca="false">Inputs!$B$5</f>
        <v>0.15</v>
      </c>
      <c r="E5" s="0" t="n">
        <f aca="false">C5*D5</f>
        <v>14.2755</v>
      </c>
      <c r="F5" s="0" t="n">
        <f aca="false">C5+E5</f>
        <v>109.4455</v>
      </c>
      <c r="G5" s="0" t="s">
        <v>201</v>
      </c>
      <c r="H5" s="0" t="n">
        <f aca="false">ROUNDUP(F5/Inputs!$B$11,0)</f>
        <v>11</v>
      </c>
      <c r="I5" s="0" t="s">
        <v>204</v>
      </c>
    </row>
    <row r="6" customFormat="false" ht="15" hidden="false" customHeight="false" outlineLevel="0" collapsed="false">
      <c r="A6" s="0" t="s">
        <v>205</v>
      </c>
      <c r="B6" s="0" t="s">
        <v>200</v>
      </c>
      <c r="C6" s="0" t="n">
        <v>50.67</v>
      </c>
      <c r="D6" s="0" t="n">
        <f aca="false">Inputs!$B$5</f>
        <v>0.15</v>
      </c>
      <c r="E6" s="0" t="n">
        <f aca="false">C6*D6</f>
        <v>7.6005</v>
      </c>
      <c r="F6" s="0" t="n">
        <f aca="false">C6+E6</f>
        <v>58.2705</v>
      </c>
      <c r="G6" s="0" t="s">
        <v>201</v>
      </c>
      <c r="H6" s="0" t="n">
        <f aca="false">ROUNDUP(F6/Inputs!$B$11,0)</f>
        <v>6</v>
      </c>
      <c r="I6" s="0" t="s">
        <v>206</v>
      </c>
    </row>
    <row r="7" customFormat="false" ht="15" hidden="false" customHeight="false" outlineLevel="0" collapsed="false">
      <c r="A7" s="0" t="s">
        <v>207</v>
      </c>
      <c r="B7" s="0" t="s">
        <v>200</v>
      </c>
      <c r="C7" s="0" t="n">
        <v>20.57</v>
      </c>
      <c r="D7" s="0" t="n">
        <f aca="false">Inputs!$B$5</f>
        <v>0.15</v>
      </c>
      <c r="E7" s="0" t="n">
        <f aca="false">C7*D7</f>
        <v>3.0855</v>
      </c>
      <c r="F7" s="0" t="n">
        <f aca="false">C7+E7</f>
        <v>23.6555</v>
      </c>
      <c r="G7" s="0" t="s">
        <v>201</v>
      </c>
      <c r="H7" s="0" t="n">
        <f aca="false">ROUNDUP(F7/Inputs!$B$11,0)</f>
        <v>3</v>
      </c>
      <c r="I7" s="0" t="s">
        <v>208</v>
      </c>
    </row>
    <row r="8" customFormat="false" ht="15" hidden="false" customHeight="false" outlineLevel="0" collapsed="false">
      <c r="A8" s="0" t="s">
        <v>209</v>
      </c>
      <c r="B8" s="0" t="s">
        <v>200</v>
      </c>
      <c r="C8" s="0" t="n">
        <v>171.48</v>
      </c>
      <c r="D8" s="0" t="n">
        <f aca="false">Inputs!$B$5</f>
        <v>0.15</v>
      </c>
      <c r="E8" s="0" t="n">
        <f aca="false">C8*D8</f>
        <v>25.722</v>
      </c>
      <c r="F8" s="0" t="n">
        <f aca="false">C8+E8</f>
        <v>197.202</v>
      </c>
      <c r="G8" s="0" t="s">
        <v>201</v>
      </c>
      <c r="H8" s="0" t="n">
        <f aca="false">ROUNDUP(F8/Inputs!$B$11,0)</f>
        <v>20</v>
      </c>
      <c r="I8" s="0" t="s">
        <v>210</v>
      </c>
    </row>
    <row r="9" customFormat="false" ht="15" hidden="false" customHeight="false" outlineLevel="0" collapsed="false">
      <c r="A9" s="0" t="s">
        <v>211</v>
      </c>
      <c r="B9" s="0" t="s">
        <v>200</v>
      </c>
      <c r="C9" s="0" t="n">
        <v>95.17</v>
      </c>
      <c r="D9" s="0" t="n">
        <f aca="false">Inputs!$B$5</f>
        <v>0.15</v>
      </c>
      <c r="E9" s="0" t="n">
        <f aca="false">C9*D9</f>
        <v>14.2755</v>
      </c>
      <c r="F9" s="0" t="n">
        <f aca="false">C9+E9</f>
        <v>109.4455</v>
      </c>
      <c r="G9" s="0" t="s">
        <v>201</v>
      </c>
      <c r="H9" s="0" t="n">
        <f aca="false">ROUNDUP(F9/Inputs!$B$11,0)</f>
        <v>11</v>
      </c>
      <c r="I9" s="0" t="s">
        <v>204</v>
      </c>
    </row>
    <row r="10" customFormat="false" ht="15" hidden="false" customHeight="false" outlineLevel="0" collapsed="false">
      <c r="A10" s="0" t="s">
        <v>212</v>
      </c>
      <c r="B10" s="0" t="s">
        <v>200</v>
      </c>
      <c r="C10" s="0" t="n">
        <v>50.67</v>
      </c>
      <c r="D10" s="0" t="n">
        <f aca="false">Inputs!$B$5</f>
        <v>0.15</v>
      </c>
      <c r="E10" s="0" t="n">
        <f aca="false">C10*D10</f>
        <v>7.6005</v>
      </c>
      <c r="F10" s="0" t="n">
        <f aca="false">C10+E10</f>
        <v>58.2705</v>
      </c>
      <c r="G10" s="0" t="s">
        <v>201</v>
      </c>
      <c r="H10" s="0" t="n">
        <f aca="false">ROUNDUP(F10/Inputs!$B$11,0)</f>
        <v>6</v>
      </c>
      <c r="I10" s="0" t="s">
        <v>206</v>
      </c>
    </row>
    <row r="11" customFormat="false" ht="15" hidden="false" customHeight="false" outlineLevel="0" collapsed="false">
      <c r="A11" s="0" t="s">
        <v>213</v>
      </c>
      <c r="B11" s="0" t="s">
        <v>200</v>
      </c>
      <c r="C11" s="0" t="n">
        <v>20.57</v>
      </c>
      <c r="D11" s="0" t="n">
        <f aca="false">Inputs!$B$5</f>
        <v>0.15</v>
      </c>
      <c r="E11" s="0" t="n">
        <f aca="false">C11*D11</f>
        <v>3.0855</v>
      </c>
      <c r="F11" s="0" t="n">
        <f aca="false">C11+E11</f>
        <v>23.6555</v>
      </c>
      <c r="G11" s="0" t="s">
        <v>201</v>
      </c>
      <c r="H11" s="0" t="n">
        <f aca="false">ROUNDUP(F11/Inputs!$B$11,0)</f>
        <v>3</v>
      </c>
      <c r="I11" s="0" t="s">
        <v>208</v>
      </c>
    </row>
    <row r="12" customFormat="false" ht="15" hidden="false" customHeight="false" outlineLevel="0" collapsed="false">
      <c r="A12" s="0" t="s">
        <v>214</v>
      </c>
      <c r="B12" s="0" t="s">
        <v>200</v>
      </c>
      <c r="C12" s="0" t="n">
        <v>2690.71</v>
      </c>
      <c r="D12" s="0" t="n">
        <f aca="false">Inputs!$B$5</f>
        <v>0.15</v>
      </c>
      <c r="E12" s="0" t="n">
        <f aca="false">C12*D12</f>
        <v>403.6065</v>
      </c>
      <c r="F12" s="0" t="n">
        <f aca="false">C12+E12</f>
        <v>3094.3165</v>
      </c>
      <c r="G12" s="0" t="s">
        <v>215</v>
      </c>
      <c r="H12" s="0" t="n">
        <f aca="false">ROUNDUP(F12/Inputs!$B$17,0)</f>
        <v>258</v>
      </c>
      <c r="I12" s="0" t="s">
        <v>216</v>
      </c>
    </row>
    <row r="13" customFormat="false" ht="15" hidden="false" customHeight="false" outlineLevel="0" collapsed="false">
      <c r="A13" s="0" t="s">
        <v>217</v>
      </c>
      <c r="B13" s="0" t="s">
        <v>200</v>
      </c>
      <c r="C13" s="0" t="n">
        <v>537.32</v>
      </c>
      <c r="D13" s="0" t="n">
        <f aca="false">Inputs!$B$5</f>
        <v>0.15</v>
      </c>
      <c r="E13" s="0" t="n">
        <f aca="false">C13*D13</f>
        <v>80.598</v>
      </c>
      <c r="F13" s="0" t="n">
        <f aca="false">C13+E13</f>
        <v>617.918</v>
      </c>
      <c r="G13" s="0" t="s">
        <v>218</v>
      </c>
      <c r="H13" s="0" t="n">
        <f aca="false">ROUNDUP(F13/Inputs!$B$10,0)</f>
        <v>31</v>
      </c>
      <c r="I13" s="0" t="s">
        <v>219</v>
      </c>
    </row>
    <row r="14" customFormat="false" ht="15" hidden="false" customHeight="false" outlineLevel="0" collapsed="false">
      <c r="A14" s="0" t="s">
        <v>220</v>
      </c>
      <c r="B14" s="0" t="s">
        <v>200</v>
      </c>
      <c r="C14" s="0" t="n">
        <v>1105.09</v>
      </c>
      <c r="D14" s="0" t="n">
        <f aca="false">Inputs!$B$5</f>
        <v>0.15</v>
      </c>
      <c r="E14" s="0" t="n">
        <f aca="false">C14*D14</f>
        <v>165.7635</v>
      </c>
      <c r="F14" s="0" t="n">
        <f aca="false">C14+E14</f>
        <v>1270.8535</v>
      </c>
      <c r="G14" s="0" t="s">
        <v>218</v>
      </c>
      <c r="H14" s="0" t="n">
        <f aca="false">ROUNDUP(F14/Inputs!$B$10,0)</f>
        <v>64</v>
      </c>
      <c r="I14" s="0" t="s">
        <v>221</v>
      </c>
    </row>
    <row r="15" customFormat="false" ht="15" hidden="false" customHeight="false" outlineLevel="0" collapsed="false">
      <c r="A15" s="0" t="s">
        <v>222</v>
      </c>
      <c r="B15" s="0" t="s">
        <v>200</v>
      </c>
      <c r="C15" s="0" t="n">
        <v>2214.54</v>
      </c>
      <c r="D15" s="0" t="n">
        <f aca="false">Inputs!$B$5</f>
        <v>0.15</v>
      </c>
      <c r="E15" s="0" t="n">
        <f aca="false">C15*D15</f>
        <v>332.181</v>
      </c>
      <c r="F15" s="0" t="n">
        <f aca="false">C15+E15</f>
        <v>2546.721</v>
      </c>
      <c r="G15" s="0" t="s">
        <v>218</v>
      </c>
      <c r="H15" s="0" t="n">
        <f aca="false">ROUNDUP(F15/Inputs!$B$10,0)</f>
        <v>128</v>
      </c>
      <c r="I15" s="0" t="s">
        <v>223</v>
      </c>
    </row>
    <row r="16" customFormat="false" ht="15" hidden="false" customHeight="false" outlineLevel="0" collapsed="false">
      <c r="A16" s="0" t="s">
        <v>224</v>
      </c>
      <c r="B16" s="0" t="s">
        <v>200</v>
      </c>
      <c r="C16" s="0" t="n">
        <v>839.87</v>
      </c>
      <c r="D16" s="0" t="n">
        <f aca="false">Inputs!$B$5</f>
        <v>0.15</v>
      </c>
      <c r="E16" s="0" t="n">
        <f aca="false">C16*D16</f>
        <v>125.9805</v>
      </c>
      <c r="F16" s="0" t="n">
        <f aca="false">C16+E16</f>
        <v>965.8505</v>
      </c>
      <c r="G16" s="0" t="s">
        <v>225</v>
      </c>
      <c r="H16" s="0" t="n">
        <f aca="false">ROUNDUP(F16/Inputs!$B$16,0)</f>
        <v>61</v>
      </c>
      <c r="I16" s="0" t="s">
        <v>226</v>
      </c>
    </row>
    <row r="17" customFormat="false" ht="15" hidden="false" customHeight="false" outlineLevel="0" collapsed="false">
      <c r="A17" s="0" t="s">
        <v>227</v>
      </c>
      <c r="B17" s="0" t="s">
        <v>200</v>
      </c>
      <c r="C17" s="0" t="n">
        <v>56</v>
      </c>
      <c r="D17" s="0" t="n">
        <f aca="false">Inputs!$B$5</f>
        <v>0.15</v>
      </c>
      <c r="E17" s="0" t="n">
        <f aca="false">C17*D17</f>
        <v>8.4</v>
      </c>
      <c r="F17" s="0" t="n">
        <f aca="false">C17+E17</f>
        <v>64.4</v>
      </c>
      <c r="G17" s="0" t="s">
        <v>218</v>
      </c>
      <c r="H17" s="0" t="n">
        <f aca="false">ROUNDUP(F17/Inputs!$B$10,0)</f>
        <v>4</v>
      </c>
      <c r="I17" s="0" t="s">
        <v>228</v>
      </c>
    </row>
    <row r="18" customFormat="false" ht="15" hidden="false" customHeight="false" outlineLevel="0" collapsed="false">
      <c r="A18" s="0" t="s">
        <v>229</v>
      </c>
      <c r="B18" s="0" t="s">
        <v>230</v>
      </c>
      <c r="C18" s="0" t="n">
        <v>534.88</v>
      </c>
      <c r="D18" s="0" t="n">
        <f aca="false">Inputs!$B$6</f>
        <v>0.06</v>
      </c>
      <c r="E18" s="0" t="n">
        <f aca="false">C18*D18</f>
        <v>32.0928</v>
      </c>
      <c r="F18" s="0" t="n">
        <f aca="false">C18+E18</f>
        <v>566.9728</v>
      </c>
      <c r="G18" s="0" t="s">
        <v>231</v>
      </c>
      <c r="H18" s="0" t="n">
        <f aca="false">ROUNDUP(F18/Inputs!$B$9,0)</f>
        <v>12</v>
      </c>
      <c r="I18" s="0" t="s">
        <v>232</v>
      </c>
    </row>
    <row r="19" customFormat="false" ht="15" hidden="false" customHeight="false" outlineLevel="0" collapsed="false">
      <c r="A19" s="0" t="s">
        <v>233</v>
      </c>
      <c r="B19" s="0" t="s">
        <v>200</v>
      </c>
      <c r="C19" s="0" t="n">
        <v>387.75</v>
      </c>
      <c r="D19" s="0" t="n">
        <f aca="false">Inputs!$B$6</f>
        <v>0.06</v>
      </c>
      <c r="E19" s="0" t="n">
        <f aca="false">C19*D19</f>
        <v>23.265</v>
      </c>
      <c r="F19" s="0" t="n">
        <f aca="false">C19+E19</f>
        <v>411.015</v>
      </c>
      <c r="G19" s="0" t="s">
        <v>234</v>
      </c>
      <c r="H19" s="0" t="n">
        <f aca="false">ROUNDUP(F19/Inputs!$B$26,0)</f>
        <v>26</v>
      </c>
      <c r="I19" s="0" t="s">
        <v>235</v>
      </c>
    </row>
    <row r="20" customFormat="false" ht="15" hidden="false" customHeight="false" outlineLevel="0" collapsed="false">
      <c r="A20" s="0" t="s">
        <v>236</v>
      </c>
      <c r="B20" s="0" t="s">
        <v>230</v>
      </c>
      <c r="C20" s="0" t="n">
        <v>7741.58</v>
      </c>
      <c r="D20" s="0" t="n">
        <f aca="false">Inputs!$B$6</f>
        <v>0.06</v>
      </c>
      <c r="E20" s="0" t="n">
        <f aca="false">C20*D20</f>
        <v>464.4948</v>
      </c>
      <c r="F20" s="0" t="n">
        <f aca="false">C20+E20</f>
        <v>8206.0748</v>
      </c>
      <c r="G20" s="0" t="s">
        <v>231</v>
      </c>
      <c r="H20" s="0" t="n">
        <f aca="false">ROUNDUP(F20/Inputs!$B$9,0)</f>
        <v>171</v>
      </c>
      <c r="I20" s="0" t="s">
        <v>237</v>
      </c>
    </row>
    <row r="21" customFormat="false" ht="15" hidden="false" customHeight="false" outlineLevel="0" collapsed="false">
      <c r="A21" s="0" t="s">
        <v>238</v>
      </c>
      <c r="B21" s="0" t="s">
        <v>230</v>
      </c>
      <c r="C21" s="0" t="n">
        <v>702.15</v>
      </c>
      <c r="D21" s="0" t="n">
        <f aca="false">Inputs!$B$6</f>
        <v>0.06</v>
      </c>
      <c r="E21" s="0" t="n">
        <f aca="false">C21*D21</f>
        <v>42.129</v>
      </c>
      <c r="F21" s="0" t="n">
        <f aca="false">C21+E21</f>
        <v>744.279</v>
      </c>
      <c r="G21" s="0" t="s">
        <v>231</v>
      </c>
      <c r="H21" s="0" t="n">
        <f aca="false">ROUNDUP(F21/Inputs!$B$9,0)</f>
        <v>16</v>
      </c>
      <c r="I21" s="0" t="s">
        <v>239</v>
      </c>
    </row>
    <row r="22" customFormat="false" ht="15" hidden="false" customHeight="false" outlineLevel="0" collapsed="false">
      <c r="A22" s="0" t="s">
        <v>240</v>
      </c>
      <c r="B22" s="0" t="s">
        <v>200</v>
      </c>
      <c r="C22" s="0" t="n">
        <v>46.83</v>
      </c>
      <c r="D22" s="0" t="n">
        <f aca="false">Inputs!$B$5</f>
        <v>0.15</v>
      </c>
      <c r="E22" s="0" t="n">
        <f aca="false">C22*D22</f>
        <v>7.0245</v>
      </c>
      <c r="F22" s="0" t="n">
        <f aca="false">C22+E22</f>
        <v>53.8545</v>
      </c>
      <c r="G22" s="0" t="s">
        <v>201</v>
      </c>
      <c r="H22" s="0" t="n">
        <f aca="false">ROUNDUP(F22/Inputs!$B$11,0)</f>
        <v>6</v>
      </c>
      <c r="I22" s="0" t="s">
        <v>241</v>
      </c>
    </row>
    <row r="23" customFormat="false" ht="15" hidden="false" customHeight="false" outlineLevel="0" collapsed="false">
      <c r="A23" s="0" t="s">
        <v>242</v>
      </c>
      <c r="B23" s="0" t="s">
        <v>243</v>
      </c>
      <c r="C23" s="0" t="n">
        <v>1058</v>
      </c>
      <c r="D23" s="0" t="n">
        <f aca="false">Inputs!$B$5</f>
        <v>0.15</v>
      </c>
      <c r="E23" s="0" t="n">
        <f aca="false">C23*D23</f>
        <v>158.7</v>
      </c>
      <c r="F23" s="0" t="n">
        <f aca="false">C23+E23</f>
        <v>1216.7</v>
      </c>
      <c r="G23" s="0" t="s">
        <v>244</v>
      </c>
      <c r="H23" s="0" t="n">
        <f aca="false">ROUNDUP(F23,0)</f>
        <v>1217</v>
      </c>
      <c r="I23" s="0" t="s">
        <v>245</v>
      </c>
    </row>
    <row r="24" customFormat="false" ht="15" hidden="false" customHeight="false" outlineLevel="0" collapsed="false">
      <c r="A24" s="0" t="s">
        <v>246</v>
      </c>
      <c r="B24" s="0" t="s">
        <v>243</v>
      </c>
      <c r="C24" s="0" t="n">
        <v>144</v>
      </c>
      <c r="D24" s="0" t="n">
        <f aca="false">Inputs!$B$5</f>
        <v>0.15</v>
      </c>
      <c r="E24" s="0" t="n">
        <f aca="false">C24*D24</f>
        <v>21.6</v>
      </c>
      <c r="F24" s="0" t="n">
        <f aca="false">C24+E24</f>
        <v>165.6</v>
      </c>
      <c r="G24" s="0" t="s">
        <v>244</v>
      </c>
      <c r="H24" s="0" t="n">
        <f aca="false">ROUNDUP(F24,0)</f>
        <v>166</v>
      </c>
      <c r="I24" s="0" t="s">
        <v>247</v>
      </c>
    </row>
    <row r="25" customFormat="false" ht="15" hidden="false" customHeight="false" outlineLevel="0" collapsed="false">
      <c r="A25" s="0" t="s">
        <v>248</v>
      </c>
      <c r="B25" s="0" t="s">
        <v>200</v>
      </c>
      <c r="C25" s="0" t="n">
        <v>6</v>
      </c>
      <c r="D25" s="0" t="n">
        <f aca="false">Inputs!$B$5</f>
        <v>0.15</v>
      </c>
      <c r="E25" s="0" t="n">
        <f aca="false">C25*D25</f>
        <v>0.9</v>
      </c>
      <c r="F25" s="0" t="n">
        <f aca="false">C25+E25</f>
        <v>6.9</v>
      </c>
      <c r="G25" s="0" t="s">
        <v>218</v>
      </c>
      <c r="H25" s="0" t="n">
        <f aca="false">ROUNDUP(F25/Inputs!$B$10,0)</f>
        <v>1</v>
      </c>
      <c r="I25" s="0" t="s">
        <v>249</v>
      </c>
    </row>
    <row r="26" customFormat="false" ht="15" hidden="false" customHeight="false" outlineLevel="0" collapsed="false">
      <c r="A26" s="0" t="s">
        <v>250</v>
      </c>
      <c r="B26" s="0" t="s">
        <v>200</v>
      </c>
      <c r="C26" s="0" t="n">
        <v>183.05</v>
      </c>
      <c r="D26" s="0" t="n">
        <f aca="false">Inputs!$B$5</f>
        <v>0.15</v>
      </c>
      <c r="E26" s="0" t="n">
        <f aca="false">C26*D26</f>
        <v>27.4575</v>
      </c>
      <c r="F26" s="0" t="n">
        <f aca="false">C26+E26</f>
        <v>210.5075</v>
      </c>
      <c r="G26" s="0" t="s">
        <v>251</v>
      </c>
      <c r="H26" s="0" t="n">
        <f aca="false">ROUNDUP(F26/Inputs!$B$18,0)</f>
        <v>22</v>
      </c>
      <c r="I26" s="0" t="s">
        <v>252</v>
      </c>
    </row>
    <row r="27" customFormat="false" ht="15" hidden="false" customHeight="false" outlineLevel="0" collapsed="false">
      <c r="A27" s="0" t="s">
        <v>253</v>
      </c>
      <c r="B27" s="0" t="s">
        <v>230</v>
      </c>
      <c r="C27" s="0" t="n">
        <v>420.25</v>
      </c>
      <c r="D27" s="0" t="n">
        <f aca="false">Inputs!$B$6</f>
        <v>0.06</v>
      </c>
      <c r="E27" s="0" t="n">
        <f aca="false">C27*D27</f>
        <v>25.215</v>
      </c>
      <c r="F27" s="0" t="n">
        <f aca="false">C27+E27</f>
        <v>445.465</v>
      </c>
      <c r="G27" s="0" t="s">
        <v>231</v>
      </c>
      <c r="H27" s="0" t="n">
        <f aca="false">ROUNDUP(F27/Inputs!$B$9,0)</f>
        <v>10</v>
      </c>
      <c r="I27" s="0" t="s">
        <v>254</v>
      </c>
    </row>
    <row r="28" customFormat="false" ht="15" hidden="false" customHeight="false" outlineLevel="0" collapsed="false">
      <c r="A28" s="0" t="s">
        <v>255</v>
      </c>
      <c r="B28" s="0" t="s">
        <v>200</v>
      </c>
      <c r="C28" s="0" t="n">
        <v>32.73</v>
      </c>
      <c r="D28" s="0" t="n">
        <f aca="false">Inputs!$B$5</f>
        <v>0.15</v>
      </c>
      <c r="E28" s="0" t="n">
        <f aca="false">C28*D28</f>
        <v>4.9095</v>
      </c>
      <c r="F28" s="0" t="n">
        <f aca="false">C28+E28</f>
        <v>37.6395</v>
      </c>
      <c r="G28" s="0" t="s">
        <v>201</v>
      </c>
      <c r="H28" s="0" t="n">
        <f aca="false">ROUNDUP(F28/Inputs!$B$11,0)</f>
        <v>4</v>
      </c>
      <c r="I28" s="0" t="s">
        <v>256</v>
      </c>
    </row>
    <row r="29" customFormat="false" ht="15" hidden="false" customHeight="false" outlineLevel="0" collapsed="false">
      <c r="A29" s="0" t="s">
        <v>257</v>
      </c>
      <c r="B29" s="0" t="s">
        <v>243</v>
      </c>
      <c r="C29" s="0" t="n">
        <v>0</v>
      </c>
      <c r="D29" s="0" t="n">
        <v>0</v>
      </c>
      <c r="E29" s="0" t="n">
        <f aca="false">C29*D29</f>
        <v>0</v>
      </c>
      <c r="F29" s="0" t="n">
        <f aca="false">C29+E29</f>
        <v>0</v>
      </c>
      <c r="G29" s="0" t="s">
        <v>258</v>
      </c>
      <c r="H29" s="0" t="n">
        <f aca="false">ROUNDUP(F29,0)</f>
        <v>0</v>
      </c>
      <c r="I29" s="0" t="s">
        <v>259</v>
      </c>
    </row>
    <row r="30" customFormat="false" ht="15" hidden="false" customHeight="false" outlineLevel="0" collapsed="false">
      <c r="A30" s="0" t="s">
        <v>260</v>
      </c>
      <c r="B30" s="0" t="s">
        <v>200</v>
      </c>
      <c r="C30" s="0" t="n">
        <v>0</v>
      </c>
      <c r="D30" s="0" t="n">
        <f aca="false">Inputs!$B$5</f>
        <v>0.15</v>
      </c>
      <c r="E30" s="0" t="n">
        <f aca="false">C30*D30</f>
        <v>0</v>
      </c>
      <c r="F30" s="0" t="n">
        <f aca="false">C30+E30</f>
        <v>0</v>
      </c>
      <c r="G30" s="0" t="s">
        <v>218</v>
      </c>
      <c r="H30" s="0" t="n">
        <f aca="false">ROUNDUP(F30/Inputs!$B$10,0)</f>
        <v>0</v>
      </c>
      <c r="I30" s="0" t="s">
        <v>261</v>
      </c>
    </row>
    <row r="31" customFormat="false" ht="15" hidden="false" customHeight="false" outlineLevel="0" collapsed="false">
      <c r="A31" s="0" t="s">
        <v>262</v>
      </c>
      <c r="B31" s="0" t="s">
        <v>200</v>
      </c>
      <c r="C31" s="0" t="n">
        <v>0</v>
      </c>
      <c r="D31" s="0" t="n">
        <f aca="false">Inputs!$B$5</f>
        <v>0.15</v>
      </c>
      <c r="E31" s="0" t="n">
        <f aca="false">C31*D31</f>
        <v>0</v>
      </c>
      <c r="F31" s="0" t="n">
        <f aca="false">C31+E31</f>
        <v>0</v>
      </c>
      <c r="G31" s="0" t="s">
        <v>218</v>
      </c>
      <c r="H31" s="0" t="n">
        <f aca="false">ROUNDUP(F31/Inputs!$B$10,0)</f>
        <v>0</v>
      </c>
      <c r="I31" s="0" t="s">
        <v>263</v>
      </c>
    </row>
    <row r="32" customFormat="false" ht="15" hidden="false" customHeight="false" outlineLevel="0" collapsed="false">
      <c r="A32" s="0" t="s">
        <v>264</v>
      </c>
      <c r="B32" s="0" t="s">
        <v>230</v>
      </c>
      <c r="C32" s="0" t="n">
        <v>18.09</v>
      </c>
      <c r="D32" s="0" t="n">
        <f aca="false">Inputs!$B$6</f>
        <v>0.06</v>
      </c>
      <c r="E32" s="0" t="n">
        <f aca="false">C32*D32</f>
        <v>1.0854</v>
      </c>
      <c r="F32" s="0" t="n">
        <f aca="false">C32+E32</f>
        <v>19.1754</v>
      </c>
      <c r="G32" s="0" t="s">
        <v>231</v>
      </c>
      <c r="H32" s="0" t="n">
        <f aca="false">ROUNDUP(F32/Inputs!$B$9,0)</f>
        <v>1</v>
      </c>
      <c r="I32" s="0" t="s">
        <v>265</v>
      </c>
    </row>
    <row r="33" customFormat="false" ht="15" hidden="false" customHeight="false" outlineLevel="0" collapsed="false">
      <c r="A33" s="0" t="s">
        <v>266</v>
      </c>
      <c r="B33" s="0" t="s">
        <v>200</v>
      </c>
      <c r="C33" s="0" t="n">
        <v>0</v>
      </c>
      <c r="D33" s="0" t="n">
        <f aca="false">Inputs!$B$6</f>
        <v>0.06</v>
      </c>
      <c r="E33" s="0" t="n">
        <f aca="false">C33*D33</f>
        <v>0</v>
      </c>
      <c r="F33" s="0" t="n">
        <f aca="false">C33+E33</f>
        <v>0</v>
      </c>
      <c r="G33" s="0" t="s">
        <v>251</v>
      </c>
      <c r="H33" s="0" t="n">
        <f aca="false">ROUNDUP(F33/Inputs!$B$18,0)</f>
        <v>0</v>
      </c>
      <c r="I33" s="0" t="s">
        <v>267</v>
      </c>
    </row>
    <row r="34" customFormat="false" ht="15" hidden="false" customHeight="false" outlineLevel="0" collapsed="false">
      <c r="A34" s="0" t="s">
        <v>268</v>
      </c>
      <c r="B34" s="0" t="s">
        <v>243</v>
      </c>
      <c r="C34" s="0" t="n">
        <v>0</v>
      </c>
      <c r="D34" s="0" t="n">
        <v>0</v>
      </c>
      <c r="E34" s="0" t="n">
        <f aca="false">C34*D34</f>
        <v>0</v>
      </c>
      <c r="F34" s="0" t="n">
        <f aca="false">C34+E34</f>
        <v>0</v>
      </c>
      <c r="G34" s="0" t="s">
        <v>258</v>
      </c>
      <c r="H34" s="0" t="n">
        <f aca="false">ROUNDUP(F34,0)</f>
        <v>0</v>
      </c>
      <c r="I34" s="0" t="s">
        <v>269</v>
      </c>
    </row>
    <row r="35" customFormat="false" ht="15" hidden="false" customHeight="false" outlineLevel="0" collapsed="false">
      <c r="A35" s="0" t="s">
        <v>270</v>
      </c>
      <c r="B35" s="0" t="s">
        <v>243</v>
      </c>
      <c r="C35" s="0" t="n">
        <v>0</v>
      </c>
      <c r="D35" s="0" t="n">
        <v>0</v>
      </c>
      <c r="E35" s="0" t="n">
        <f aca="false">C35*D35</f>
        <v>0</v>
      </c>
      <c r="F35" s="0" t="n">
        <f aca="false">C35+E35</f>
        <v>0</v>
      </c>
      <c r="G35" s="0" t="s">
        <v>258</v>
      </c>
      <c r="H35" s="0" t="n">
        <f aca="false">ROUNDUP(F35,0)</f>
        <v>0</v>
      </c>
      <c r="I35" s="0" t="s">
        <v>271</v>
      </c>
    </row>
    <row r="36" customFormat="false" ht="15" hidden="false" customHeight="false" outlineLevel="0" collapsed="false">
      <c r="A36" s="0" t="s">
        <v>272</v>
      </c>
      <c r="B36" s="0" t="s">
        <v>243</v>
      </c>
      <c r="C36" s="0" t="n">
        <v>9586.1</v>
      </c>
      <c r="D36" s="0" t="n">
        <v>0</v>
      </c>
      <c r="E36" s="0" t="n">
        <f aca="false">C36*D36</f>
        <v>0</v>
      </c>
      <c r="F36" s="0" t="n">
        <f aca="false">C36+E36</f>
        <v>9586.1</v>
      </c>
      <c r="G36" s="0" t="s">
        <v>258</v>
      </c>
      <c r="H36" s="0" t="n">
        <f aca="false">ROUNDUP(F36,0)</f>
        <v>9587</v>
      </c>
      <c r="I36" s="0" t="s">
        <v>273</v>
      </c>
      <c r="J36" s="0" t="n">
        <f aca="false">Inputs!$B$20*7988.42</f>
        <v>9586.104</v>
      </c>
    </row>
    <row r="37" customFormat="false" ht="15" hidden="false" customHeight="false" outlineLevel="0" collapsed="false">
      <c r="A37" s="0" t="s">
        <v>274</v>
      </c>
      <c r="B37" s="0" t="s">
        <v>243</v>
      </c>
      <c r="C37" s="0" t="n">
        <v>684</v>
      </c>
      <c r="D37" s="0" t="n">
        <v>0</v>
      </c>
      <c r="E37" s="0" t="n">
        <f aca="false">C37*D37</f>
        <v>0</v>
      </c>
      <c r="F37" s="0" t="n">
        <f aca="false">C37+E37</f>
        <v>684</v>
      </c>
      <c r="G37" s="0" t="s">
        <v>258</v>
      </c>
      <c r="H37" s="0" t="n">
        <f aca="false">ROUNDUP(F37,0)</f>
        <v>684</v>
      </c>
      <c r="I37" s="0" t="s">
        <v>275</v>
      </c>
      <c r="J37" s="0" t="n">
        <f aca="false">Inputs!$B$21*171</f>
        <v>684</v>
      </c>
    </row>
    <row r="38" customFormat="false" ht="15" hidden="false" customHeight="false" outlineLevel="0" collapsed="false">
      <c r="A38" s="0" t="s">
        <v>276</v>
      </c>
      <c r="B38" s="0" t="s">
        <v>243</v>
      </c>
      <c r="C38" s="0" t="n">
        <v>37.76</v>
      </c>
      <c r="D38" s="0" t="n">
        <v>0</v>
      </c>
      <c r="E38" s="0" t="n">
        <f aca="false">C38*D38</f>
        <v>0</v>
      </c>
      <c r="F38" s="0" t="n">
        <f aca="false">C38+E38</f>
        <v>37.76</v>
      </c>
      <c r="G38" s="0" t="s">
        <v>258</v>
      </c>
      <c r="H38" s="0" t="n">
        <f aca="false">ROUNDUP(F38,0)</f>
        <v>38</v>
      </c>
      <c r="I38" s="0" t="s">
        <v>277</v>
      </c>
      <c r="J38" s="0" t="n">
        <f aca="false">151.04/Inputs!$B$22</f>
        <v>37.76</v>
      </c>
    </row>
    <row r="39" customFormat="false" ht="15" hidden="false" customHeight="false" outlineLevel="0" collapsed="false">
      <c r="A39" s="0" t="s">
        <v>278</v>
      </c>
      <c r="B39" s="0" t="s">
        <v>243</v>
      </c>
      <c r="C39" s="0" t="n">
        <v>6</v>
      </c>
      <c r="D39" s="0" t="n">
        <v>0</v>
      </c>
      <c r="E39" s="0" t="n">
        <f aca="false">C39*D39</f>
        <v>0</v>
      </c>
      <c r="F39" s="0" t="n">
        <f aca="false">C39+E39</f>
        <v>6</v>
      </c>
      <c r="G39" s="0" t="s">
        <v>258</v>
      </c>
      <c r="H39" s="0" t="n">
        <f aca="false">ROUNDUP(F39,0)</f>
        <v>6</v>
      </c>
      <c r="I39" s="0" t="s">
        <v>279</v>
      </c>
      <c r="J39" s="0" t="n">
        <f aca="false">24/Inputs!$B$25</f>
        <v>6</v>
      </c>
    </row>
    <row r="40" customFormat="false" ht="15" hidden="false" customHeight="false" outlineLevel="0" collapsed="false">
      <c r="A40" s="0" t="s">
        <v>280</v>
      </c>
      <c r="B40" s="0" t="s">
        <v>281</v>
      </c>
      <c r="C40" s="0" t="n">
        <v>607.95</v>
      </c>
      <c r="D40" s="0" t="n">
        <v>0</v>
      </c>
      <c r="E40" s="0" t="n">
        <f aca="false">C40*D40</f>
        <v>0</v>
      </c>
      <c r="F40" s="0" t="n">
        <f aca="false">C40+E40</f>
        <v>607.95</v>
      </c>
      <c r="G40" s="0" t="s">
        <v>282</v>
      </c>
      <c r="H40" s="0" t="n">
        <f aca="false">ROUNDUP(F40,0)</f>
        <v>608</v>
      </c>
      <c r="I40" s="0" t="s">
        <v>283</v>
      </c>
      <c r="J40" s="0" t="n">
        <f aca="false">Inputs!$B$23*8443.73</f>
        <v>607.94856</v>
      </c>
    </row>
    <row r="41" customFormat="false" ht="15" hidden="false" customHeight="false" outlineLevel="0" collapsed="false">
      <c r="A41" s="0" t="s">
        <v>284</v>
      </c>
      <c r="B41" s="0" t="s">
        <v>200</v>
      </c>
      <c r="C41" s="0" t="n">
        <v>3124.18</v>
      </c>
      <c r="D41" s="0" t="n">
        <v>0</v>
      </c>
      <c r="E41" s="0" t="n">
        <f aca="false">C41*D41</f>
        <v>0</v>
      </c>
      <c r="F41" s="0" t="n">
        <f aca="false">C41+E41</f>
        <v>3124.18</v>
      </c>
      <c r="G41" s="0" t="s">
        <v>200</v>
      </c>
      <c r="H41" s="0" t="n">
        <f aca="false">ROUNDUP(F41,0)</f>
        <v>3125</v>
      </c>
      <c r="I41" s="0" t="s">
        <v>285</v>
      </c>
      <c r="J41" s="0" t="n">
        <f aca="false">Inputs!$B$24*8443.73</f>
        <v>3124.1801</v>
      </c>
    </row>
    <row r="42" customFormat="false" ht="15" hidden="false" customHeight="false" outlineLevel="0" collapsed="false">
      <c r="A42" s="0" t="s">
        <v>286</v>
      </c>
      <c r="B42" s="0" t="s">
        <v>230</v>
      </c>
      <c r="C42" s="0" t="n">
        <v>0</v>
      </c>
      <c r="D42" s="0" t="n">
        <f aca="false">Inputs!$B$6</f>
        <v>0.06</v>
      </c>
      <c r="E42" s="0" t="n">
        <f aca="false">C42*D42</f>
        <v>0</v>
      </c>
      <c r="F42" s="0" t="n">
        <f aca="false">C42+E42</f>
        <v>0</v>
      </c>
      <c r="G42" s="0" t="s">
        <v>230</v>
      </c>
      <c r="H42" s="0" t="n">
        <f aca="false">ROUNDUP(F42,0)</f>
        <v>0</v>
      </c>
      <c r="I42" s="0" t="s">
        <v>287</v>
      </c>
    </row>
    <row r="43" customFormat="false" ht="15" hidden="false" customHeight="false" outlineLevel="0" collapsed="false">
      <c r="A43" s="0" t="s">
        <v>288</v>
      </c>
      <c r="B43" s="0" t="s">
        <v>243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258</v>
      </c>
      <c r="H43" s="0" t="n">
        <f aca="false">ROUNDUP(F43,0)</f>
        <v>0</v>
      </c>
      <c r="I43" s="0" t="s">
        <v>289</v>
      </c>
    </row>
    <row r="44" customFormat="false" ht="15" hidden="false" customHeight="false" outlineLevel="0" collapsed="false">
      <c r="A44" s="0" t="s">
        <v>290</v>
      </c>
      <c r="B44" s="0" t="s">
        <v>243</v>
      </c>
      <c r="C44" s="0" t="n">
        <v>792</v>
      </c>
      <c r="D44" s="0" t="n">
        <v>0</v>
      </c>
      <c r="E44" s="0" t="n">
        <f aca="false">C44*D44</f>
        <v>0</v>
      </c>
      <c r="F44" s="0" t="n">
        <f aca="false">C44+E44</f>
        <v>792</v>
      </c>
      <c r="G44" s="0" t="s">
        <v>258</v>
      </c>
      <c r="H44" s="0" t="n">
        <f aca="false">ROUNDUP(F44,0)</f>
        <v>792</v>
      </c>
      <c r="I44" s="0" t="s">
        <v>291</v>
      </c>
    </row>
    <row r="45" customFormat="false" ht="15" hidden="false" customHeight="false" outlineLevel="0" collapsed="false">
      <c r="A45" s="0" t="s">
        <v>292</v>
      </c>
      <c r="B45" s="0" t="s">
        <v>243</v>
      </c>
      <c r="C45" s="0" t="n">
        <v>546.37</v>
      </c>
      <c r="D45" s="0" t="n">
        <v>0</v>
      </c>
      <c r="E45" s="0" t="n">
        <f aca="false">C45*D45</f>
        <v>0</v>
      </c>
      <c r="F45" s="0" t="n">
        <f aca="false">C45+E45</f>
        <v>546.37</v>
      </c>
      <c r="G45" s="0" t="s">
        <v>258</v>
      </c>
      <c r="H45" s="0" t="n">
        <f aca="false">ROUNDUP(F45,0)</f>
        <v>547</v>
      </c>
      <c r="I45" s="0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294</v>
      </c>
      <c r="B1" s="2" t="s">
        <v>295</v>
      </c>
      <c r="C1" s="2" t="s">
        <v>296</v>
      </c>
    </row>
    <row r="2" customFormat="false" ht="15" hidden="false" customHeight="false" outlineLevel="0" collapsed="false">
      <c r="A2" s="0" t="s">
        <v>297</v>
      </c>
      <c r="B2" s="0" t="s">
        <v>298</v>
      </c>
      <c r="C2" s="0" t="s">
        <v>299</v>
      </c>
    </row>
    <row r="3" customFormat="false" ht="15" hidden="false" customHeight="false" outlineLevel="0" collapsed="false">
      <c r="A3" s="0" t="s">
        <v>300</v>
      </c>
      <c r="B3" s="0" t="s">
        <v>301</v>
      </c>
      <c r="C3" s="0" t="s">
        <v>302</v>
      </c>
    </row>
    <row r="4" customFormat="false" ht="15" hidden="false" customHeight="false" outlineLevel="0" collapsed="false">
      <c r="A4" s="0" t="s">
        <v>303</v>
      </c>
      <c r="B4" s="0" t="s">
        <v>304</v>
      </c>
      <c r="C4" s="0" t="s">
        <v>305</v>
      </c>
    </row>
    <row r="5" customFormat="false" ht="15" hidden="false" customHeight="false" outlineLevel="0" collapsed="false">
      <c r="A5" s="0" t="s">
        <v>306</v>
      </c>
      <c r="B5" s="0" t="s">
        <v>307</v>
      </c>
      <c r="C5" s="0" t="s">
        <v>308</v>
      </c>
    </row>
    <row r="6" customFormat="false" ht="15" hidden="false" customHeight="false" outlineLevel="0" collapsed="false">
      <c r="A6" s="0" t="s">
        <v>309</v>
      </c>
      <c r="B6" s="0" t="s">
        <v>310</v>
      </c>
      <c r="C6" s="0" t="s">
        <v>311</v>
      </c>
    </row>
    <row r="7" customFormat="false" ht="15" hidden="false" customHeight="false" outlineLevel="0" collapsed="false">
      <c r="A7" s="0" t="s">
        <v>312</v>
      </c>
      <c r="B7" s="0" t="s">
        <v>313</v>
      </c>
      <c r="C7" s="0" t="s">
        <v>314</v>
      </c>
    </row>
    <row r="8" customFormat="false" ht="15" hidden="false" customHeight="false" outlineLevel="0" collapsed="false">
      <c r="A8" s="0" t="s">
        <v>315</v>
      </c>
      <c r="B8" s="0" t="s">
        <v>316</v>
      </c>
      <c r="C8" s="0" t="s">
        <v>317</v>
      </c>
    </row>
    <row r="9" customFormat="false" ht="15" hidden="false" customHeight="false" outlineLevel="0" collapsed="false">
      <c r="A9" s="0" t="s">
        <v>318</v>
      </c>
      <c r="B9" s="0" t="s">
        <v>319</v>
      </c>
      <c r="C9" s="0" t="s">
        <v>320</v>
      </c>
    </row>
    <row r="10" customFormat="false" ht="15" hidden="false" customHeight="false" outlineLevel="0" collapsed="false">
      <c r="A10" s="0" t="s">
        <v>321</v>
      </c>
      <c r="B10" s="0" t="s">
        <v>322</v>
      </c>
      <c r="C10" s="0" t="s">
        <v>323</v>
      </c>
    </row>
    <row r="11" customFormat="false" ht="15" hidden="false" customHeight="false" outlineLevel="0" collapsed="false">
      <c r="A11" s="0" t="s">
        <v>324</v>
      </c>
      <c r="B11" s="0" t="s">
        <v>325</v>
      </c>
      <c r="C11" s="0" t="s">
        <v>326</v>
      </c>
    </row>
    <row r="12" customFormat="false" ht="15" hidden="false" customHeight="false" outlineLevel="0" collapsed="false">
      <c r="A12" s="0" t="s">
        <v>327</v>
      </c>
      <c r="B12" s="0" t="s">
        <v>328</v>
      </c>
      <c r="C12" s="0" t="s">
        <v>329</v>
      </c>
    </row>
    <row r="13" customFormat="false" ht="15" hidden="false" customHeight="false" outlineLevel="0" collapsed="false">
      <c r="A13" s="0" t="s">
        <v>330</v>
      </c>
      <c r="B13" s="0" t="s">
        <v>331</v>
      </c>
      <c r="C13" s="0" t="s">
        <v>332</v>
      </c>
    </row>
    <row r="14" customFormat="false" ht="15" hidden="false" customHeight="false" outlineLevel="0" collapsed="false">
      <c r="A14" s="0" t="s">
        <v>333</v>
      </c>
      <c r="B14" s="0" t="s">
        <v>334</v>
      </c>
      <c r="C14" s="0" t="s">
        <v>335</v>
      </c>
    </row>
    <row r="15" customFormat="false" ht="15" hidden="false" customHeight="false" outlineLevel="0" collapsed="false">
      <c r="A15" s="0" t="s">
        <v>336</v>
      </c>
      <c r="B15" s="0" t="s">
        <v>337</v>
      </c>
      <c r="C15" s="0" t="s">
        <v>338</v>
      </c>
    </row>
    <row r="16" customFormat="false" ht="15" hidden="false" customHeight="false" outlineLevel="0" collapsed="false">
      <c r="A16" s="0" t="s">
        <v>339</v>
      </c>
      <c r="B16" s="0" t="s">
        <v>340</v>
      </c>
      <c r="C16" s="0" t="s">
        <v>341</v>
      </c>
    </row>
    <row r="17" customFormat="false" ht="15" hidden="false" customHeight="false" outlineLevel="0" collapsed="false">
      <c r="A17" s="0" t="s">
        <v>342</v>
      </c>
      <c r="B17" s="0" t="s">
        <v>343</v>
      </c>
      <c r="C17" s="0" t="s">
        <v>344</v>
      </c>
    </row>
    <row r="18" customFormat="false" ht="15" hidden="false" customHeight="false" outlineLevel="0" collapsed="false">
      <c r="A18" s="0" t="s">
        <v>345</v>
      </c>
      <c r="B18" s="0" t="s">
        <v>346</v>
      </c>
      <c r="C18" s="0" t="s">
        <v>347</v>
      </c>
    </row>
    <row r="19" customFormat="false" ht="15" hidden="false" customHeight="false" outlineLevel="0" collapsed="false">
      <c r="A19" s="0" t="s">
        <v>348</v>
      </c>
      <c r="B19" s="0" t="s">
        <v>349</v>
      </c>
      <c r="C19" s="0" t="s">
        <v>350</v>
      </c>
    </row>
    <row r="20" customFormat="false" ht="15" hidden="false" customHeight="false" outlineLevel="0" collapsed="false">
      <c r="A20" s="0" t="s">
        <v>351</v>
      </c>
      <c r="B20" s="0" t="s">
        <v>352</v>
      </c>
      <c r="C20" s="0" t="s">
        <v>353</v>
      </c>
    </row>
    <row r="21" customFormat="false" ht="15" hidden="false" customHeight="false" outlineLevel="0" collapsed="false">
      <c r="A21" s="0" t="s">
        <v>354</v>
      </c>
      <c r="B21" s="0" t="s">
        <v>355</v>
      </c>
      <c r="C21" s="0" t="s">
        <v>356</v>
      </c>
    </row>
    <row r="22" customFormat="false" ht="15" hidden="false" customHeight="false" outlineLevel="0" collapsed="false">
      <c r="A22" s="0" t="s">
        <v>357</v>
      </c>
      <c r="B22" s="0" t="s">
        <v>358</v>
      </c>
      <c r="C22" s="0" t="s">
        <v>359</v>
      </c>
    </row>
    <row r="23" customFormat="false" ht="15" hidden="false" customHeight="false" outlineLevel="0" collapsed="false">
      <c r="A23" s="0" t="s">
        <v>360</v>
      </c>
      <c r="B23" s="0" t="s">
        <v>361</v>
      </c>
      <c r="C23" s="0" t="s">
        <v>362</v>
      </c>
    </row>
    <row r="24" customFormat="false" ht="15" hidden="false" customHeight="false" outlineLevel="0" collapsed="false">
      <c r="A24" s="0" t="s">
        <v>363</v>
      </c>
      <c r="B24" s="0" t="s">
        <v>364</v>
      </c>
      <c r="C24" s="0" t="s">
        <v>365</v>
      </c>
    </row>
    <row r="25" customFormat="false" ht="15" hidden="false" customHeight="false" outlineLevel="0" collapsed="false">
      <c r="A25" s="0" t="s">
        <v>366</v>
      </c>
      <c r="B25" s="0" t="s">
        <v>367</v>
      </c>
      <c r="C25" s="0" t="s">
        <v>368</v>
      </c>
    </row>
    <row r="26" customFormat="false" ht="15" hidden="false" customHeight="false" outlineLevel="0" collapsed="false">
      <c r="A26" s="0" t="s">
        <v>369</v>
      </c>
      <c r="B26" s="0" t="s">
        <v>370</v>
      </c>
      <c r="C26" s="0" t="s">
        <v>371</v>
      </c>
    </row>
    <row r="27" customFormat="false" ht="15" hidden="false" customHeight="false" outlineLevel="0" collapsed="false">
      <c r="A27" s="0" t="s">
        <v>372</v>
      </c>
      <c r="B27" s="0" t="s">
        <v>373</v>
      </c>
      <c r="C27" s="0" t="s">
        <v>374</v>
      </c>
    </row>
    <row r="28" customFormat="false" ht="15" hidden="false" customHeight="false" outlineLevel="0" collapsed="false">
      <c r="A28" s="0" t="s">
        <v>375</v>
      </c>
      <c r="B28" s="0" t="s">
        <v>376</v>
      </c>
      <c r="C28" s="0" t="s">
        <v>377</v>
      </c>
    </row>
    <row r="29" customFormat="false" ht="15" hidden="false" customHeight="false" outlineLevel="0" collapsed="false">
      <c r="A29" s="0" t="s">
        <v>378</v>
      </c>
      <c r="B29" s="0" t="s">
        <v>379</v>
      </c>
      <c r="C29" s="0" t="s">
        <v>380</v>
      </c>
    </row>
    <row r="30" customFormat="false" ht="15" hidden="false" customHeight="false" outlineLevel="0" collapsed="false">
      <c r="A30" s="0" t="s">
        <v>381</v>
      </c>
      <c r="B30" s="0" t="s">
        <v>382</v>
      </c>
      <c r="C30" s="0" t="s">
        <v>383</v>
      </c>
    </row>
    <row r="31" customFormat="false" ht="15" hidden="false" customHeight="false" outlineLevel="0" collapsed="false">
      <c r="A31" s="0" t="s">
        <v>384</v>
      </c>
      <c r="B31" s="0" t="s">
        <v>385</v>
      </c>
      <c r="C31" s="0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387</v>
      </c>
    </row>
    <row r="2" customFormat="false" ht="15" hidden="false" customHeight="false" outlineLevel="0" collapsed="false">
      <c r="A2" s="0" t="s">
        <v>388</v>
      </c>
      <c r="B2" s="0" t="s">
        <v>389</v>
      </c>
      <c r="C2" s="0" t="s">
        <v>390</v>
      </c>
      <c r="D2" s="0" t="s">
        <v>391</v>
      </c>
      <c r="E2" s="0" t="s">
        <v>392</v>
      </c>
      <c r="F2" s="0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394</v>
      </c>
      <c r="B1" s="0" t="s">
        <v>395</v>
      </c>
      <c r="C1" s="0" t="s">
        <v>69</v>
      </c>
      <c r="D1" s="0" t="s">
        <v>396</v>
      </c>
    </row>
    <row r="2" customFormat="false" ht="15" hidden="false" customHeight="false" outlineLevel="0" collapsed="false">
      <c r="A2" s="0" t="s">
        <v>397</v>
      </c>
      <c r="B2" s="0" t="s">
        <v>398</v>
      </c>
      <c r="C2" s="0" t="s">
        <v>399</v>
      </c>
      <c r="D2" s="0" t="s">
        <v>400</v>
      </c>
    </row>
    <row r="3" customFormat="false" ht="15" hidden="false" customHeight="false" outlineLevel="0" collapsed="false">
      <c r="A3" s="0" t="s">
        <v>401</v>
      </c>
      <c r="B3" s="0" t="s">
        <v>402</v>
      </c>
      <c r="C3" s="0" t="s">
        <v>399</v>
      </c>
      <c r="D3" s="0" t="s">
        <v>403</v>
      </c>
    </row>
    <row r="4" customFormat="false" ht="15" hidden="false" customHeight="false" outlineLevel="0" collapsed="false">
      <c r="A4" s="0" t="s">
        <v>404</v>
      </c>
      <c r="B4" s="0" t="s">
        <v>405</v>
      </c>
      <c r="C4" s="0" t="s">
        <v>406</v>
      </c>
      <c r="D4" s="0" t="s">
        <v>407</v>
      </c>
    </row>
    <row r="5" customFormat="false" ht="15" hidden="false" customHeight="false" outlineLevel="0" collapsed="false">
      <c r="A5" s="0" t="s">
        <v>408</v>
      </c>
      <c r="B5" s="0" t="s">
        <v>409</v>
      </c>
      <c r="C5" s="0" t="s">
        <v>399</v>
      </c>
      <c r="D5" s="0" t="s">
        <v>410</v>
      </c>
    </row>
    <row r="6" customFormat="false" ht="15" hidden="false" customHeight="false" outlineLevel="0" collapsed="false">
      <c r="A6" s="0" t="s">
        <v>411</v>
      </c>
      <c r="B6" s="0" t="s">
        <v>412</v>
      </c>
      <c r="C6" s="0" t="s">
        <v>399</v>
      </c>
      <c r="D6" s="0" t="s">
        <v>413</v>
      </c>
    </row>
    <row r="7" customFormat="false" ht="15" hidden="false" customHeight="false" outlineLevel="0" collapsed="false">
      <c r="A7" s="0" t="s">
        <v>414</v>
      </c>
      <c r="B7" s="0" t="s">
        <v>415</v>
      </c>
      <c r="C7" s="0" t="s">
        <v>399</v>
      </c>
      <c r="D7" s="0" t="s">
        <v>416</v>
      </c>
    </row>
    <row r="8" customFormat="false" ht="15" hidden="false" customHeight="false" outlineLevel="0" collapsed="false">
      <c r="A8" s="0" t="s">
        <v>417</v>
      </c>
      <c r="B8" s="0" t="s">
        <v>418</v>
      </c>
      <c r="C8" s="0" t="s">
        <v>399</v>
      </c>
      <c r="D8" s="0" t="s">
        <v>419</v>
      </c>
    </row>
    <row r="9" customFormat="false" ht="15" hidden="false" customHeight="false" outlineLevel="0" collapsed="false">
      <c r="A9" s="0" t="s">
        <v>420</v>
      </c>
      <c r="B9" s="0" t="s">
        <v>421</v>
      </c>
      <c r="C9" s="0" t="s">
        <v>399</v>
      </c>
      <c r="D9" s="0" t="s">
        <v>422</v>
      </c>
    </row>
    <row r="10" customFormat="false" ht="15" hidden="false" customHeight="false" outlineLevel="0" collapsed="false">
      <c r="A10" s="0" t="s">
        <v>423</v>
      </c>
      <c r="B10" s="0" t="s">
        <v>424</v>
      </c>
      <c r="C10" s="0" t="s">
        <v>399</v>
      </c>
      <c r="D10" s="0" t="s">
        <v>425</v>
      </c>
    </row>
    <row r="11" customFormat="false" ht="15" hidden="false" customHeight="false" outlineLevel="0" collapsed="false">
      <c r="A11" s="0" t="s">
        <v>426</v>
      </c>
      <c r="B11" s="0" t="s">
        <v>427</v>
      </c>
      <c r="C11" s="0" t="s">
        <v>399</v>
      </c>
      <c r="D11" s="0" t="s">
        <v>428</v>
      </c>
    </row>
    <row r="12" customFormat="false" ht="15" hidden="false" customHeight="false" outlineLevel="0" collapsed="false">
      <c r="A12" s="0" t="s">
        <v>429</v>
      </c>
      <c r="B12" s="0" t="s">
        <v>430</v>
      </c>
      <c r="C12" s="0" t="s">
        <v>399</v>
      </c>
      <c r="D12" s="0" t="s">
        <v>431</v>
      </c>
    </row>
    <row r="13" customFormat="false" ht="15" hidden="false" customHeight="false" outlineLevel="0" collapsed="false">
      <c r="A13" s="0" t="s">
        <v>432</v>
      </c>
      <c r="B13" s="0" t="s">
        <v>433</v>
      </c>
      <c r="C13" s="0" t="s">
        <v>406</v>
      </c>
      <c r="D13" s="0" t="s">
        <v>434</v>
      </c>
    </row>
    <row r="14" customFormat="false" ht="15" hidden="false" customHeight="false" outlineLevel="0" collapsed="false">
      <c r="A14" s="0" t="s">
        <v>435</v>
      </c>
      <c r="B14" s="0" t="s">
        <v>436</v>
      </c>
      <c r="C14" s="0" t="s">
        <v>406</v>
      </c>
      <c r="D14" s="0" t="s">
        <v>437</v>
      </c>
    </row>
    <row r="15" customFormat="false" ht="15" hidden="false" customHeight="false" outlineLevel="0" collapsed="false">
      <c r="A15" s="0" t="s">
        <v>438</v>
      </c>
      <c r="B15" s="0" t="s">
        <v>439</v>
      </c>
      <c r="C15" s="0" t="s">
        <v>406</v>
      </c>
      <c r="D15" s="0" t="s">
        <v>440</v>
      </c>
    </row>
    <row r="16" customFormat="false" ht="15" hidden="false" customHeight="false" outlineLevel="0" collapsed="false">
      <c r="A16" s="0" t="s">
        <v>441</v>
      </c>
      <c r="B16" s="0" t="s">
        <v>442</v>
      </c>
      <c r="C16" s="0" t="s">
        <v>406</v>
      </c>
      <c r="D16" s="0" t="s">
        <v>443</v>
      </c>
    </row>
    <row r="17" customFormat="false" ht="15" hidden="false" customHeight="false" outlineLevel="0" collapsed="false">
      <c r="A17" s="0" t="s">
        <v>444</v>
      </c>
      <c r="B17" s="0" t="s">
        <v>445</v>
      </c>
      <c r="C17" s="0" t="s">
        <v>399</v>
      </c>
      <c r="D17" s="0" t="s">
        <v>446</v>
      </c>
    </row>
    <row r="18" customFormat="false" ht="15" hidden="false" customHeight="false" outlineLevel="0" collapsed="false">
      <c r="A18" s="0" t="s">
        <v>447</v>
      </c>
      <c r="B18" s="0" t="s">
        <v>448</v>
      </c>
      <c r="C18" s="0" t="s">
        <v>294</v>
      </c>
      <c r="D18" s="0" t="s">
        <v>449</v>
      </c>
    </row>
    <row r="19" customFormat="false" ht="15" hidden="false" customHeight="false" outlineLevel="0" collapsed="false">
      <c r="A19" s="0" t="s">
        <v>450</v>
      </c>
      <c r="B19" s="0" t="s">
        <v>451</v>
      </c>
      <c r="C19" s="0" t="s">
        <v>399</v>
      </c>
      <c r="D19" s="0" t="s">
        <v>452</v>
      </c>
    </row>
    <row r="20" customFormat="false" ht="15" hidden="false" customHeight="false" outlineLevel="0" collapsed="false">
      <c r="A20" s="0" t="s">
        <v>453</v>
      </c>
      <c r="B20" s="0" t="s">
        <v>454</v>
      </c>
      <c r="C20" s="0" t="s">
        <v>406</v>
      </c>
      <c r="D20" s="0" t="s">
        <v>455</v>
      </c>
    </row>
    <row r="21" customFormat="false" ht="15" hidden="false" customHeight="false" outlineLevel="0" collapsed="false">
      <c r="A21" s="0" t="s">
        <v>456</v>
      </c>
      <c r="B21" s="0" t="s">
        <v>457</v>
      </c>
      <c r="C21" s="0" t="s">
        <v>294</v>
      </c>
      <c r="D21" s="0" t="s">
        <v>458</v>
      </c>
    </row>
    <row r="22" customFormat="false" ht="15" hidden="false" customHeight="false" outlineLevel="0" collapsed="false">
      <c r="A22" s="0" t="s">
        <v>459</v>
      </c>
      <c r="B22" s="0" t="s">
        <v>460</v>
      </c>
      <c r="C22" s="0" t="s">
        <v>406</v>
      </c>
      <c r="D22" s="0" t="s">
        <v>461</v>
      </c>
    </row>
    <row r="23" customFormat="false" ht="15" hidden="false" customHeight="false" outlineLevel="0" collapsed="false">
      <c r="A23" s="0" t="s">
        <v>462</v>
      </c>
      <c r="B23" s="0" t="s">
        <v>463</v>
      </c>
      <c r="C23" s="0" t="s">
        <v>406</v>
      </c>
      <c r="D23" s="0" t="s">
        <v>464</v>
      </c>
    </row>
    <row r="24" customFormat="false" ht="15" hidden="false" customHeight="false" outlineLevel="0" collapsed="false">
      <c r="A24" s="0" t="s">
        <v>465</v>
      </c>
      <c r="B24" s="0" t="s">
        <v>466</v>
      </c>
      <c r="C24" s="0" t="s">
        <v>406</v>
      </c>
      <c r="D24" s="0" t="s">
        <v>467</v>
      </c>
    </row>
    <row r="25" customFormat="false" ht="15" hidden="false" customHeight="false" outlineLevel="0" collapsed="false">
      <c r="A25" s="0" t="s">
        <v>468</v>
      </c>
      <c r="B25" s="0" t="s">
        <v>469</v>
      </c>
      <c r="C25" s="0" t="s">
        <v>294</v>
      </c>
      <c r="D25" s="0" t="s">
        <v>470</v>
      </c>
    </row>
    <row r="26" customFormat="false" ht="15" hidden="false" customHeight="false" outlineLevel="0" collapsed="false">
      <c r="A26" s="0" t="s">
        <v>471</v>
      </c>
      <c r="B26" s="0" t="s">
        <v>472</v>
      </c>
      <c r="C26" s="0" t="s">
        <v>406</v>
      </c>
      <c r="D26" s="0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474</v>
      </c>
    </row>
    <row r="2" customFormat="false" ht="15" hidden="false" customHeight="false" outlineLevel="0" collapsed="false">
      <c r="A2" s="0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2026-10-31T09:16:40Z</dcterms:created>
  <dc:creator>openpyxl</dc:creator>
  <dc:description/>
  <dc:language>en-US</dc:language>
  <cp:lastModifiedBy/>
  <dcterms:modified xsi:type="dcterms:W3CDTF">2026-10-31T09:16:40Z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